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le &amp; Home" sheetId="1" r:id="rId5"/>
    <sheet state="visible" name="Lilly Pound" sheetId="2" r:id="rId6"/>
  </sheets>
  <definedNames/>
  <calcPr/>
</workbook>
</file>

<file path=xl/sharedStrings.xml><?xml version="1.0" encoding="utf-8"?>
<sst xmlns="http://schemas.openxmlformats.org/spreadsheetml/2006/main" count="334" uniqueCount="139">
  <si>
    <t>z</t>
  </si>
  <si>
    <r>
      <rPr>
        <rFont val="Calibri"/>
        <b/>
        <color theme="1"/>
        <sz val="12.0"/>
      </rPr>
      <t>Types of Event:</t>
    </r>
    <r>
      <rPr>
        <rFont val="Calibri"/>
        <b val="0"/>
        <color theme="1"/>
        <sz val="12.0"/>
      </rPr>
      <t xml:space="preserve"> Reception &amp; Muhuratham</t>
    </r>
  </si>
  <si>
    <r>
      <rPr>
        <rFont val="Calibri"/>
        <b/>
        <color theme="1"/>
        <sz val="12.0"/>
      </rPr>
      <t>Incharge:</t>
    </r>
    <r>
      <rPr>
        <rFont val="Calibri"/>
        <color theme="1"/>
        <sz val="12.0"/>
      </rPr>
      <t xml:space="preserve"> </t>
    </r>
  </si>
  <si>
    <t>Event date: 6th &amp; 7th Niv 2025</t>
  </si>
  <si>
    <t>Venue : Maple / Home Décor</t>
  </si>
  <si>
    <r>
      <rPr>
        <rFont val="Calibri"/>
        <b/>
        <color theme="1"/>
        <sz val="12.0"/>
      </rPr>
      <t>Last update:</t>
    </r>
    <r>
      <rPr>
        <rFont val="Calibri"/>
        <b val="0"/>
        <color theme="1"/>
        <sz val="12.0"/>
      </rPr>
      <t xml:space="preserve"> </t>
    </r>
  </si>
  <si>
    <t>agreed amount</t>
  </si>
  <si>
    <t>Sl. No</t>
  </si>
  <si>
    <t>Particulars</t>
  </si>
  <si>
    <t>Image</t>
  </si>
  <si>
    <t>Size</t>
  </si>
  <si>
    <t>Qnty</t>
  </si>
  <si>
    <t>Unit</t>
  </si>
  <si>
    <t>Rate</t>
  </si>
  <si>
    <t>Total cost</t>
  </si>
  <si>
    <t>Grand 
total</t>
  </si>
  <si>
    <t>Negotiated
Amount</t>
  </si>
  <si>
    <t>vendor code</t>
  </si>
  <si>
    <t xml:space="preserve">Vendor name 
</t>
  </si>
  <si>
    <t>Vendor Contact Number</t>
  </si>
  <si>
    <t>inhouse amount</t>
  </si>
  <si>
    <t>assets purchase</t>
  </si>
  <si>
    <t>direct payment</t>
  </si>
  <si>
    <t>Actual Paid Amount</t>
  </si>
  <si>
    <t>A</t>
  </si>
  <si>
    <t>Flower vendors</t>
  </si>
  <si>
    <t>*</t>
  </si>
  <si>
    <t>Cut flowers</t>
  </si>
  <si>
    <t>Venue Décor</t>
  </si>
  <si>
    <t>nos</t>
  </si>
  <si>
    <t>tick</t>
  </si>
  <si>
    <t>Home Décor / Car décor</t>
  </si>
  <si>
    <t xml:space="preserve">Traditional Flower </t>
  </si>
  <si>
    <t>Maple Venue</t>
  </si>
  <si>
    <t>Home Décor</t>
  </si>
  <si>
    <t>Chapra</t>
  </si>
  <si>
    <t>Nalugu Gari</t>
  </si>
  <si>
    <t>Lilly Pound</t>
  </si>
  <si>
    <t>B</t>
  </si>
  <si>
    <t>Others</t>
  </si>
  <si>
    <t>Pots</t>
  </si>
  <si>
    <t>Flower Rangoli</t>
  </si>
  <si>
    <t>including lilly pond</t>
  </si>
  <si>
    <t>Welcoming, Kashiyatre, Kashiyatre chatri, Saptapadi, Beesanige, Antarapata, Gowri Pooja, Doll Setup</t>
  </si>
  <si>
    <t>God idol</t>
  </si>
  <si>
    <t>Lakshmi venketeshwara</t>
  </si>
  <si>
    <t>C</t>
  </si>
  <si>
    <t>Lights-Sound,Truss &amp; Genset</t>
  </si>
  <si>
    <t>including facelights</t>
  </si>
  <si>
    <t>LED Parcanes</t>
  </si>
  <si>
    <t>Muhuratham</t>
  </si>
  <si>
    <t>HMI Lights</t>
  </si>
  <si>
    <t>Sharpies</t>
  </si>
  <si>
    <t>Basic sounds</t>
  </si>
  <si>
    <t xml:space="preserve">Genset </t>
  </si>
  <si>
    <t>Genset 62kv</t>
  </si>
  <si>
    <t>Genset 125kvkv</t>
  </si>
  <si>
    <t>Truss</t>
  </si>
  <si>
    <t>64ft X 20 X 24ft ht
 20ft - 4nos extra beam</t>
  </si>
  <si>
    <t>rft</t>
  </si>
  <si>
    <t>Transportation</t>
  </si>
  <si>
    <t>LED Wall</t>
  </si>
  <si>
    <t>70 X 20</t>
  </si>
  <si>
    <t>sqft</t>
  </si>
  <si>
    <t>Scaffolding</t>
  </si>
  <si>
    <t>D</t>
  </si>
  <si>
    <t>Stage</t>
  </si>
  <si>
    <t>Muhurtham Mantap</t>
  </si>
  <si>
    <t>60x30 1.5ft ht -1nos</t>
  </si>
  <si>
    <t>Sqft</t>
  </si>
  <si>
    <t>Stage Riser</t>
  </si>
  <si>
    <t>60x4</t>
  </si>
  <si>
    <t>Music Stage</t>
  </si>
  <si>
    <t>16X12ft 2.5ft ht - 1nos</t>
  </si>
  <si>
    <t>F</t>
  </si>
  <si>
    <t>Entertainment</t>
  </si>
  <si>
    <t>Low Fog</t>
  </si>
  <si>
    <t>Cold Fire</t>
  </si>
  <si>
    <t>Welcome dance</t>
  </si>
  <si>
    <t>G</t>
  </si>
  <si>
    <t>Labours</t>
  </si>
  <si>
    <t>outsource  Hard labours</t>
  </si>
  <si>
    <t>4th Nov</t>
  </si>
  <si>
    <t>Night</t>
  </si>
  <si>
    <t>5th Nov</t>
  </si>
  <si>
    <t>Day</t>
  </si>
  <si>
    <t>6th Nov</t>
  </si>
  <si>
    <t>7th Nov</t>
  </si>
  <si>
    <t>Flower Labours</t>
  </si>
  <si>
    <t>Nos</t>
  </si>
  <si>
    <t>Sweepers &amp; Garbage</t>
  </si>
  <si>
    <t>Electrician</t>
  </si>
  <si>
    <t>Purchase And Repair</t>
  </si>
  <si>
    <t xml:space="preserve">Store Material </t>
  </si>
  <si>
    <t>Manufacturing Cost</t>
  </si>
  <si>
    <t>Manager Cost</t>
  </si>
  <si>
    <t xml:space="preserve">Royalty </t>
  </si>
  <si>
    <t>H</t>
  </si>
  <si>
    <t xml:space="preserve"> Transport for Setup</t>
  </si>
  <si>
    <t xml:space="preserve"> Transport for Dismantling</t>
  </si>
  <si>
    <t>I</t>
  </si>
  <si>
    <t xml:space="preserve">Indent </t>
  </si>
  <si>
    <t xml:space="preserve">Manager,cab and others </t>
  </si>
  <si>
    <t>J</t>
  </si>
  <si>
    <t>Flex Printing</t>
  </si>
  <si>
    <t>Total Amount</t>
  </si>
  <si>
    <t>Budget</t>
  </si>
  <si>
    <t>Profit</t>
  </si>
  <si>
    <t>overheads</t>
  </si>
  <si>
    <t>gowdan expences</t>
  </si>
  <si>
    <t>10% of agreed amount</t>
  </si>
  <si>
    <t>Agreed amount</t>
  </si>
  <si>
    <t>1,00,000</t>
  </si>
  <si>
    <t>Gowdown overheads</t>
  </si>
  <si>
    <t>10% of Agreed amount</t>
  </si>
  <si>
    <t>Company Overheads</t>
  </si>
  <si>
    <t>15% of agreed amount</t>
  </si>
  <si>
    <t>Event Expense</t>
  </si>
  <si>
    <t>Total expense as per budget</t>
  </si>
  <si>
    <t>total expense</t>
  </si>
  <si>
    <t>total of above 3</t>
  </si>
  <si>
    <t>profit or loss</t>
  </si>
  <si>
    <t>agreed - total expense</t>
  </si>
  <si>
    <t>account and cash bifercation</t>
  </si>
  <si>
    <t xml:space="preserve">Cash </t>
  </si>
  <si>
    <t>amount</t>
  </si>
  <si>
    <t>account</t>
  </si>
  <si>
    <t>Name: Rajshekar Reddy</t>
  </si>
  <si>
    <r>
      <rPr>
        <rFont val="Calibri"/>
        <b/>
        <color theme="1"/>
        <sz val="11.0"/>
      </rPr>
      <t>Types of Event:</t>
    </r>
    <r>
      <rPr>
        <rFont val="Calibri"/>
        <b val="0"/>
        <color theme="1"/>
        <sz val="11.0"/>
      </rPr>
      <t xml:space="preserve"> Reception &amp; Muhuratham</t>
    </r>
  </si>
  <si>
    <r>
      <rPr>
        <rFont val="Calibri"/>
        <b/>
        <color theme="1"/>
        <sz val="11.0"/>
      </rPr>
      <t>Incharge:</t>
    </r>
    <r>
      <rPr>
        <rFont val="Calibri"/>
        <color theme="1"/>
        <sz val="11.0"/>
      </rPr>
      <t xml:space="preserve"> </t>
    </r>
  </si>
  <si>
    <t>Event date: 5th nov</t>
  </si>
  <si>
    <t>Venue : Lilly Pound</t>
  </si>
  <si>
    <r>
      <rPr>
        <rFont val="Calibri"/>
        <b/>
        <color theme="1"/>
        <sz val="11.0"/>
      </rPr>
      <t>Last update:</t>
    </r>
    <r>
      <rPr>
        <rFont val="Calibri"/>
        <b val="0"/>
        <color theme="1"/>
        <sz val="11.0"/>
      </rPr>
      <t xml:space="preserve"> </t>
    </r>
  </si>
  <si>
    <t>Cost</t>
  </si>
  <si>
    <t>Finalised
Amount</t>
  </si>
  <si>
    <t>Flower Jwellary</t>
  </si>
  <si>
    <t>Bangle doll setup</t>
  </si>
  <si>
    <t>sounds 2sub 4top</t>
  </si>
  <si>
    <t>Stand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</si>
</sst>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sz val="11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  <fill>
      <patternFill patternType="solid">
        <fgColor rgb="FF000000"/>
        <bgColor rgb="FF000000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/>
      <top/>
      <bottom/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bottom/>
    </border>
    <border>
      <left style="thin">
        <color rgb="FF000000"/>
      </left>
      <bottom/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3" numFmtId="0" xfId="0" applyAlignment="1" applyBorder="1" applyFont="1">
      <alignment horizontal="left" vertical="center"/>
    </xf>
    <xf borderId="4" fillId="2" fontId="3" numFmtId="0" xfId="0" applyAlignment="1" applyBorder="1" applyFont="1">
      <alignment horizontal="left" vertical="center"/>
    </xf>
    <xf borderId="0" fillId="0" fontId="3" numFmtId="0" xfId="0" applyFont="1"/>
    <xf borderId="1" fillId="2" fontId="1" numFmtId="0" xfId="0" applyAlignment="1" applyBorder="1" applyFont="1">
      <alignment horizontal="left" vertical="center"/>
    </xf>
    <xf borderId="8" fillId="2" fontId="1" numFmtId="0" xfId="0" applyAlignment="1" applyBorder="1" applyFont="1">
      <alignment vertical="center"/>
    </xf>
    <xf borderId="9" fillId="2" fontId="1" numFmtId="0" xfId="0" applyAlignment="1" applyBorder="1" applyFont="1">
      <alignment vertical="center"/>
    </xf>
    <xf borderId="10" fillId="2" fontId="1" numFmtId="0" xfId="0" applyAlignment="1" applyBorder="1" applyFont="1">
      <alignment vertical="center"/>
    </xf>
    <xf borderId="11" fillId="2" fontId="1" numFmtId="0" xfId="0" applyAlignment="1" applyBorder="1" applyFont="1">
      <alignment horizontal="left" shrinkToFit="0" vertical="center" wrapText="1"/>
    </xf>
    <xf borderId="8" fillId="2" fontId="1" numFmtId="0" xfId="0" applyAlignment="1" applyBorder="1" applyFont="1">
      <alignment horizontal="left" shrinkToFit="0" vertical="center" wrapText="1"/>
    </xf>
    <xf borderId="12" fillId="2" fontId="1" numFmtId="0" xfId="0" applyAlignment="1" applyBorder="1" applyFont="1">
      <alignment horizontal="left" vertical="center"/>
    </xf>
    <xf borderId="12" fillId="2" fontId="1" numFmtId="0" xfId="0" applyAlignment="1" applyBorder="1" applyFont="1">
      <alignment horizontal="left" readingOrder="0" vertical="center"/>
    </xf>
    <xf borderId="12" fillId="2" fontId="1" numFmtId="0" xfId="0" applyAlignment="1" applyBorder="1" applyFont="1">
      <alignment horizontal="left" shrinkToFit="0" vertical="center" wrapText="1"/>
    </xf>
    <xf borderId="13" fillId="2" fontId="1" numFmtId="0" xfId="0" applyAlignment="1" applyBorder="1" applyFont="1">
      <alignment vertical="center"/>
    </xf>
    <xf borderId="12" fillId="3" fontId="1" numFmtId="0" xfId="0" applyAlignment="1" applyBorder="1" applyFill="1" applyFont="1">
      <alignment horizontal="center" vertical="center"/>
    </xf>
    <xf borderId="12" fillId="3" fontId="1" numFmtId="0" xfId="0" applyAlignment="1" applyBorder="1" applyFont="1">
      <alignment horizontal="center" readingOrder="0" vertical="center"/>
    </xf>
    <xf borderId="12" fillId="3" fontId="1" numFmtId="0" xfId="0" applyAlignment="1" applyBorder="1" applyFont="1">
      <alignment horizontal="center" shrinkToFit="0" vertical="center" wrapText="1"/>
    </xf>
    <xf borderId="12" fillId="4" fontId="1" numFmtId="0" xfId="0" applyAlignment="1" applyBorder="1" applyFill="1" applyFont="1">
      <alignment horizontal="center" readingOrder="0" shrinkToFit="0" vertical="center" wrapText="1"/>
    </xf>
    <xf borderId="12" fillId="3" fontId="1" numFmtId="0" xfId="0" applyAlignment="1" applyBorder="1" applyFont="1">
      <alignment horizontal="center" readingOrder="0" shrinkToFit="0" vertical="center" wrapText="1"/>
    </xf>
    <xf borderId="14" fillId="3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2" fillId="5" fontId="1" numFmtId="0" xfId="0" applyAlignment="1" applyBorder="1" applyFill="1" applyFont="1">
      <alignment horizontal="center" vertical="center"/>
    </xf>
    <xf borderId="14" fillId="5" fontId="1" numFmtId="0" xfId="0" applyAlignment="1" applyBorder="1" applyFont="1">
      <alignment vertical="center"/>
    </xf>
    <xf borderId="15" fillId="5" fontId="1" numFmtId="0" xfId="0" applyAlignment="1" applyBorder="1" applyFont="1">
      <alignment vertical="center"/>
    </xf>
    <xf borderId="12" fillId="2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left" shrinkToFit="0" vertical="center" wrapText="1"/>
    </xf>
    <xf borderId="12" fillId="4" fontId="1" numFmtId="0" xfId="0" applyAlignment="1" applyBorder="1" applyFont="1">
      <alignment horizontal="center" vertical="center"/>
    </xf>
    <xf borderId="14" fillId="2" fontId="3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vertical="center"/>
    </xf>
    <xf borderId="16" fillId="2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left" shrinkToFit="0" vertical="center" wrapText="1"/>
    </xf>
    <xf borderId="5" fillId="2" fontId="3" numFmtId="0" xfId="0" applyAlignment="1" applyBorder="1" applyFont="1">
      <alignment horizontal="center" vertical="center"/>
    </xf>
    <xf borderId="4" fillId="4" fontId="1" numFmtId="0" xfId="0" applyAlignment="1" applyBorder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4" fontId="1" numFmtId="0" xfId="0" applyAlignment="1" applyBorder="1" applyFont="1">
      <alignment horizontal="center" vertical="center"/>
    </xf>
    <xf borderId="18" fillId="5" fontId="1" numFmtId="0" xfId="0" applyAlignment="1" applyBorder="1" applyFont="1">
      <alignment horizontal="center" vertical="center"/>
    </xf>
    <xf borderId="9" fillId="5" fontId="1" numFmtId="0" xfId="0" applyAlignment="1" applyBorder="1" applyFont="1">
      <alignment vertical="center"/>
    </xf>
    <xf borderId="10" fillId="5" fontId="1" numFmtId="0" xfId="0" applyAlignment="1" applyBorder="1" applyFont="1">
      <alignment vertical="center"/>
    </xf>
    <xf borderId="9" fillId="2" fontId="3" numFmtId="0" xfId="0" applyAlignment="1" applyBorder="1" applyFont="1">
      <alignment horizontal="left" vertical="center"/>
    </xf>
    <xf borderId="12" fillId="0" fontId="3" numFmtId="0" xfId="0" applyAlignment="1" applyBorder="1" applyFont="1">
      <alignment horizontal="center" vertical="center"/>
    </xf>
    <xf borderId="12" fillId="2" fontId="3" numFmtId="0" xfId="0" applyAlignment="1" applyBorder="1" applyFont="1">
      <alignment horizontal="left" vertical="center"/>
    </xf>
    <xf borderId="12" fillId="2" fontId="3" numFmtId="0" xfId="0" applyAlignment="1" applyBorder="1" applyFont="1">
      <alignment horizontal="center" shrinkToFit="0" vertical="center" wrapText="1"/>
    </xf>
    <xf borderId="16" fillId="4" fontId="1" numFmtId="0" xfId="0" applyAlignment="1" applyBorder="1" applyFon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12" fillId="0" fontId="3" numFmtId="0" xfId="0" applyAlignment="1" applyBorder="1" applyFont="1">
      <alignment horizontal="left" shrinkToFit="0" vertical="top" wrapText="1"/>
    </xf>
    <xf borderId="12" fillId="0" fontId="3" numFmtId="0" xfId="0" applyBorder="1" applyFont="1"/>
    <xf borderId="12" fillId="0" fontId="3" numFmtId="0" xfId="0" applyAlignment="1" applyBorder="1" applyFont="1">
      <alignment horizontal="center"/>
    </xf>
    <xf borderId="18" fillId="5" fontId="3" numFmtId="0" xfId="0" applyAlignment="1" applyBorder="1" applyFont="1">
      <alignment horizontal="center" vertical="center"/>
    </xf>
    <xf borderId="22" fillId="5" fontId="3" numFmtId="0" xfId="0" applyAlignment="1" applyBorder="1" applyFont="1">
      <alignment horizontal="left" shrinkToFit="0" vertical="center" wrapText="1"/>
    </xf>
    <xf borderId="22" fillId="5" fontId="3" numFmtId="0" xfId="0" applyBorder="1" applyFont="1"/>
    <xf borderId="22" fillId="5" fontId="3" numFmtId="0" xfId="0" applyAlignment="1" applyBorder="1" applyFont="1">
      <alignment horizontal="center"/>
    </xf>
    <xf borderId="22" fillId="5" fontId="3" numFmtId="0" xfId="0" applyAlignment="1" applyBorder="1" applyFont="1">
      <alignment horizontal="center" vertical="center"/>
    </xf>
    <xf borderId="22" fillId="5" fontId="1" numFmtId="0" xfId="0" applyAlignment="1" applyBorder="1" applyFont="1">
      <alignment horizontal="center" vertical="center"/>
    </xf>
    <xf borderId="0" fillId="5" fontId="3" numFmtId="0" xfId="0" applyAlignment="1" applyFont="1">
      <alignment horizontal="center" vertical="center"/>
    </xf>
    <xf borderId="20" fillId="5" fontId="3" numFmtId="0" xfId="0" applyAlignment="1" applyBorder="1" applyFont="1">
      <alignment horizontal="center" vertical="center"/>
    </xf>
    <xf borderId="0" fillId="5" fontId="1" numFmtId="0" xfId="0" applyAlignment="1" applyFont="1">
      <alignment horizontal="center" vertical="center"/>
    </xf>
    <xf borderId="18" fillId="2" fontId="3" numFmtId="0" xfId="0" applyAlignment="1" applyBorder="1" applyFont="1">
      <alignment horizontal="center" vertical="center"/>
    </xf>
    <xf borderId="12" fillId="0" fontId="4" numFmtId="0" xfId="0" applyAlignment="1" applyBorder="1" applyFont="1">
      <alignment shrinkToFit="0" wrapText="1"/>
    </xf>
    <xf borderId="12" fillId="0" fontId="4" numFmtId="0" xfId="0" applyAlignment="1" applyBorder="1" applyFont="1">
      <alignment horizontal="center" shrinkToFit="0" wrapText="1"/>
    </xf>
    <xf borderId="23" fillId="5" fontId="1" numFmtId="0" xfId="0" applyAlignment="1" applyBorder="1" applyFont="1">
      <alignment vertical="center"/>
    </xf>
    <xf borderId="12" fillId="2" fontId="3" numFmtId="0" xfId="0" applyAlignment="1" applyBorder="1" applyFont="1">
      <alignment horizontal="left" shrinkToFit="0" vertical="center" wrapText="1"/>
    </xf>
    <xf borderId="12" fillId="2" fontId="4" numFmtId="0" xfId="0" applyAlignment="1" applyBorder="1" applyFont="1">
      <alignment horizontal="left" shrinkToFit="0" vertical="center" wrapText="1"/>
    </xf>
    <xf borderId="12" fillId="2" fontId="4" numFmtId="0" xfId="0" applyAlignment="1" applyBorder="1" applyFont="1">
      <alignment horizontal="left" vertical="center"/>
    </xf>
    <xf borderId="12" fillId="2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12" fillId="0" fontId="3" numFmtId="0" xfId="0" applyAlignment="1" applyBorder="1" applyFont="1">
      <alignment shrinkToFit="0" vertical="center" wrapText="1"/>
    </xf>
    <xf borderId="17" fillId="0" fontId="3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/>
    </xf>
    <xf borderId="12" fillId="0" fontId="3" numFmtId="0" xfId="0" applyAlignment="1" applyBorder="1" applyFont="1">
      <alignment horizontal="left" vertical="center"/>
    </xf>
    <xf borderId="24" fillId="2" fontId="3" numFmtId="0" xfId="0" applyAlignment="1" applyBorder="1" applyFont="1">
      <alignment horizontal="center" vertical="center"/>
    </xf>
    <xf borderId="25" fillId="2" fontId="3" numFmtId="0" xfId="0" applyAlignment="1" applyBorder="1" applyFont="1">
      <alignment horizontal="center" vertical="center"/>
    </xf>
    <xf borderId="2" fillId="4" fontId="1" numFmtId="0" xfId="0" applyAlignment="1" applyBorder="1" applyFont="1">
      <alignment horizontal="center" vertical="center"/>
    </xf>
    <xf borderId="3" fillId="4" fontId="1" numFmtId="0" xfId="0" applyAlignment="1" applyBorder="1" applyFont="1">
      <alignment horizontal="center" vertical="center"/>
    </xf>
    <xf borderId="12" fillId="0" fontId="3" numFmtId="16" xfId="0" applyAlignment="1" applyBorder="1" applyFont="1" applyNumberFormat="1">
      <alignment horizontal="center" vertical="center"/>
    </xf>
    <xf borderId="26" fillId="0" fontId="2" numFmtId="0" xfId="0" applyBorder="1" applyFont="1"/>
    <xf borderId="27" fillId="0" fontId="2" numFmtId="0" xfId="0" applyBorder="1" applyFont="1"/>
    <xf borderId="12" fillId="0" fontId="5" numFmtId="0" xfId="0" applyAlignment="1" applyBorder="1" applyFont="1">
      <alignment shrinkToFit="0" vertical="center" wrapText="1"/>
    </xf>
    <xf borderId="19" fillId="0" fontId="3" numFmtId="0" xfId="0" applyAlignment="1" applyBorder="1" applyFont="1">
      <alignment horizontal="left" vertical="center"/>
    </xf>
    <xf borderId="28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16" fillId="2" fontId="3" numFmtId="0" xfId="0" applyAlignment="1" applyBorder="1" applyFont="1">
      <alignment horizontal="center" shrinkToFit="0" vertical="center" wrapText="1"/>
    </xf>
    <xf borderId="17" fillId="2" fontId="3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left"/>
    </xf>
    <xf borderId="21" fillId="2" fontId="3" numFmtId="0" xfId="0" applyAlignment="1" applyBorder="1" applyFont="1">
      <alignment horizontal="center" shrinkToFit="0" vertical="center" wrapText="1"/>
    </xf>
    <xf borderId="29" fillId="2" fontId="3" numFmtId="0" xfId="0" applyAlignment="1" applyBorder="1" applyFont="1">
      <alignment horizontal="center" vertical="center"/>
    </xf>
    <xf borderId="30" fillId="4" fontId="1" numFmtId="0" xfId="0" applyAlignment="1" applyBorder="1" applyFont="1">
      <alignment horizontal="center" vertical="center"/>
    </xf>
    <xf borderId="14" fillId="2" fontId="3" numFmtId="0" xfId="0" applyAlignment="1" applyBorder="1" applyFont="1">
      <alignment horizontal="center" shrinkToFit="0" vertical="center" wrapText="1"/>
    </xf>
    <xf borderId="12" fillId="6" fontId="3" numFmtId="0" xfId="0" applyAlignment="1" applyBorder="1" applyFill="1" applyFont="1">
      <alignment horizontal="center" vertical="center"/>
    </xf>
    <xf borderId="1" fillId="6" fontId="1" numFmtId="0" xfId="0" applyAlignment="1" applyBorder="1" applyFont="1">
      <alignment horizontal="center" vertical="center"/>
    </xf>
    <xf borderId="12" fillId="6" fontId="1" numFmtId="0" xfId="0" applyAlignment="1" applyBorder="1" applyFont="1">
      <alignment horizontal="center" vertical="center"/>
    </xf>
    <xf borderId="14" fillId="6" fontId="1" numFmtId="0" xfId="0" applyAlignment="1" applyBorder="1" applyFont="1">
      <alignment horizontal="center" vertical="center"/>
    </xf>
    <xf borderId="0" fillId="7" fontId="3" numFmtId="0" xfId="0" applyFill="1" applyFont="1"/>
    <xf borderId="0" fillId="7" fontId="3" numFmtId="0" xfId="0" applyAlignment="1" applyFont="1">
      <alignment horizontal="center"/>
    </xf>
    <xf borderId="12" fillId="7" fontId="1" numFmtId="0" xfId="0" applyAlignment="1" applyBorder="1" applyFont="1">
      <alignment horizontal="center"/>
    </xf>
    <xf borderId="12" fillId="7" fontId="1" numFmtId="0" xfId="0" applyAlignment="1" applyBorder="1" applyFont="1">
      <alignment horizontal="center" vertical="center"/>
    </xf>
    <xf borderId="12" fillId="7" fontId="1" numFmtId="0" xfId="0" applyAlignment="1" applyBorder="1" applyFont="1">
      <alignment horizontal="center" shrinkToFit="0" vertical="center" wrapText="1"/>
    </xf>
    <xf borderId="0" fillId="7" fontId="6" numFmtId="0" xfId="0" applyFont="1"/>
    <xf borderId="0" fillId="0" fontId="3" numFmtId="0" xfId="0" applyAlignment="1" applyFont="1">
      <alignment readingOrder="0"/>
    </xf>
    <xf borderId="1" fillId="2" fontId="7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left" vertical="center"/>
    </xf>
    <xf borderId="5" fillId="2" fontId="7" numFmtId="0" xfId="0" applyAlignment="1" applyBorder="1" applyFont="1">
      <alignment vertical="center"/>
    </xf>
    <xf borderId="6" fillId="2" fontId="7" numFmtId="0" xfId="0" applyAlignment="1" applyBorder="1" applyFont="1">
      <alignment vertical="center"/>
    </xf>
    <xf borderId="9" fillId="2" fontId="7" numFmtId="0" xfId="0" applyAlignment="1" applyBorder="1" applyFont="1">
      <alignment vertical="center"/>
    </xf>
    <xf borderId="10" fillId="2" fontId="7" numFmtId="0" xfId="0" applyAlignment="1" applyBorder="1" applyFont="1">
      <alignment vertical="center"/>
    </xf>
    <xf borderId="12" fillId="3" fontId="7" numFmtId="0" xfId="0" applyAlignment="1" applyBorder="1" applyFont="1">
      <alignment horizontal="center" vertical="center"/>
    </xf>
    <xf borderId="12" fillId="3" fontId="7" numFmtId="0" xfId="0" applyAlignment="1" applyBorder="1" applyFont="1">
      <alignment horizontal="center" shrinkToFit="0" vertical="center" wrapText="1"/>
    </xf>
    <xf borderId="12" fillId="4" fontId="7" numFmtId="0" xfId="0" applyAlignment="1" applyBorder="1" applyFont="1">
      <alignment horizontal="center" shrinkToFit="0" vertical="center" wrapText="1"/>
    </xf>
    <xf borderId="14" fillId="3" fontId="7" numFmtId="0" xfId="0" applyAlignment="1" applyBorder="1" applyFont="1">
      <alignment horizontal="center" shrinkToFit="0" vertical="center" wrapText="1"/>
    </xf>
    <xf borderId="12" fillId="3" fontId="8" numFmtId="0" xfId="0" applyAlignment="1" applyBorder="1" applyFont="1">
      <alignment horizontal="center" shrinkToFit="0" vertical="center" wrapText="1"/>
    </xf>
    <xf borderId="12" fillId="5" fontId="7" numFmtId="0" xfId="0" applyAlignment="1" applyBorder="1" applyFont="1">
      <alignment horizontal="center" vertical="center"/>
    </xf>
    <xf borderId="14" fillId="5" fontId="7" numFmtId="0" xfId="0" applyAlignment="1" applyBorder="1" applyFont="1">
      <alignment vertical="center"/>
    </xf>
    <xf borderId="15" fillId="5" fontId="7" numFmtId="0" xfId="0" applyAlignment="1" applyBorder="1" applyFont="1">
      <alignment vertical="center"/>
    </xf>
    <xf borderId="12" fillId="5" fontId="8" numFmtId="0" xfId="0" applyAlignment="1" applyBorder="1" applyFont="1">
      <alignment vertical="center"/>
    </xf>
    <xf borderId="12" fillId="0" fontId="4" numFmtId="0" xfId="0" applyAlignment="1" applyBorder="1" applyFont="1">
      <alignment horizontal="left" shrinkToFit="0" vertical="center" wrapText="1"/>
    </xf>
    <xf borderId="12" fillId="4" fontId="7" numFmtId="0" xfId="0" applyAlignment="1" applyBorder="1" applyFont="1">
      <alignment horizontal="center" vertical="center"/>
    </xf>
    <xf borderId="14" fillId="2" fontId="4" numFmtId="0" xfId="0" applyAlignment="1" applyBorder="1" applyFont="1">
      <alignment horizontal="center" vertical="center"/>
    </xf>
    <xf borderId="12" fillId="2" fontId="9" numFmtId="0" xfId="0" applyAlignment="1" applyBorder="1" applyFont="1">
      <alignment horizontal="center" vertical="center"/>
    </xf>
    <xf borderId="16" fillId="2" fontId="4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left" shrinkToFit="0" vertical="center" wrapText="1"/>
    </xf>
    <xf borderId="5" fillId="2" fontId="4" numFmtId="0" xfId="0" applyAlignment="1" applyBorder="1" applyFont="1">
      <alignment horizontal="center" vertical="center"/>
    </xf>
    <xf borderId="16" fillId="2" fontId="9" numFmtId="0" xfId="0" applyAlignment="1" applyBorder="1" applyFont="1">
      <alignment horizontal="center" vertical="center"/>
    </xf>
    <xf borderId="18" fillId="5" fontId="7" numFmtId="0" xfId="0" applyAlignment="1" applyBorder="1" applyFont="1">
      <alignment horizontal="center" vertical="center"/>
    </xf>
    <xf borderId="9" fillId="5" fontId="7" numFmtId="0" xfId="0" applyAlignment="1" applyBorder="1" applyFont="1">
      <alignment vertical="center"/>
    </xf>
    <xf borderId="10" fillId="5" fontId="7" numFmtId="0" xfId="0" applyAlignment="1" applyBorder="1" applyFont="1">
      <alignment vertical="center"/>
    </xf>
    <xf borderId="18" fillId="5" fontId="8" numFmtId="0" xfId="0" applyAlignment="1" applyBorder="1" applyFont="1">
      <alignment vertical="center"/>
    </xf>
    <xf borderId="12" fillId="2" fontId="4" numFmtId="0" xfId="0" applyAlignment="1" applyBorder="1" applyFont="1">
      <alignment horizontal="center" shrinkToFit="0" vertical="center" wrapText="1"/>
    </xf>
    <xf borderId="16" fillId="4" fontId="7" numFmtId="0" xfId="0" applyAlignment="1" applyBorder="1" applyFont="1">
      <alignment horizontal="center" vertical="center"/>
    </xf>
    <xf borderId="16" fillId="2" fontId="9" numFmtId="0" xfId="0" applyAlignment="1" applyBorder="1" applyFont="1">
      <alignment horizontal="center" shrinkToFit="0" vertical="center" wrapText="1"/>
    </xf>
    <xf borderId="17" fillId="2" fontId="4" numFmtId="0" xfId="0" applyAlignment="1" applyBorder="1" applyFont="1">
      <alignment horizontal="center" vertical="center"/>
    </xf>
    <xf borderId="17" fillId="4" fontId="7" numFmtId="0" xfId="0" applyAlignment="1" applyBorder="1" applyFont="1">
      <alignment horizontal="center" vertical="center"/>
    </xf>
    <xf borderId="25" fillId="2" fontId="4" numFmtId="0" xfId="0" applyAlignment="1" applyBorder="1" applyFont="1">
      <alignment horizontal="center" vertical="center"/>
    </xf>
    <xf borderId="17" fillId="2" fontId="9" numFmtId="0" xfId="0" applyAlignment="1" applyBorder="1" applyFont="1">
      <alignment horizontal="center" shrinkToFit="0" vertical="center" wrapText="1"/>
    </xf>
    <xf borderId="29" fillId="0" fontId="2" numFmtId="0" xfId="0" applyBorder="1" applyFont="1"/>
    <xf borderId="12" fillId="2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center"/>
    </xf>
    <xf borderId="12" fillId="0" fontId="4" numFmtId="0" xfId="0" applyAlignment="1" applyBorder="1" applyFont="1">
      <alignment horizontal="left" vertical="center"/>
    </xf>
    <xf borderId="24" fillId="2" fontId="4" numFmtId="0" xfId="0" applyAlignment="1" applyBorder="1" applyFont="1">
      <alignment horizontal="center" vertical="center"/>
    </xf>
    <xf borderId="17" fillId="2" fontId="9" numFmtId="0" xfId="0" applyAlignment="1" applyBorder="1" applyFont="1">
      <alignment horizontal="center" vertical="center"/>
    </xf>
    <xf borderId="12" fillId="0" fontId="4" numFmtId="16" xfId="0" applyAlignment="1" applyBorder="1" applyFont="1" applyNumberFormat="1">
      <alignment horizontal="center" vertical="center"/>
    </xf>
    <xf borderId="12" fillId="0" fontId="4" numFmtId="0" xfId="0" applyBorder="1" applyFont="1"/>
    <xf borderId="12" fillId="0" fontId="10" numFmtId="0" xfId="0" applyAlignment="1" applyBorder="1" applyFont="1">
      <alignment shrinkToFit="0" vertical="center" wrapText="1"/>
    </xf>
    <xf borderId="19" fillId="0" fontId="4" numFmtId="0" xfId="0" applyAlignment="1" applyBorder="1" applyFont="1">
      <alignment horizontal="left" vertical="center"/>
    </xf>
    <xf borderId="28" fillId="2" fontId="4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horizontal="center" vertical="center"/>
    </xf>
    <xf borderId="17" fillId="2" fontId="4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left"/>
    </xf>
    <xf borderId="16" fillId="2" fontId="4" numFmtId="0" xfId="0" applyAlignment="1" applyBorder="1" applyFont="1">
      <alignment horizontal="center" shrinkToFit="0" vertical="center" wrapText="1"/>
    </xf>
    <xf borderId="14" fillId="2" fontId="4" numFmtId="0" xfId="0" applyAlignment="1" applyBorder="1" applyFont="1">
      <alignment horizontal="center" shrinkToFit="0" vertical="center" wrapText="1"/>
    </xf>
    <xf borderId="12" fillId="2" fontId="9" numFmtId="0" xfId="0" applyAlignment="1" applyBorder="1" applyFont="1">
      <alignment horizontal="center" shrinkToFit="0" vertical="center" wrapText="1"/>
    </xf>
    <xf borderId="12" fillId="2" fontId="7" numFmtId="0" xfId="0" applyAlignment="1" applyBorder="1" applyFont="1">
      <alignment horizontal="left" vertical="center"/>
    </xf>
    <xf borderId="12" fillId="6" fontId="4" numFmtId="0" xfId="0" applyAlignment="1" applyBorder="1" applyFont="1">
      <alignment horizontal="center" vertical="center"/>
    </xf>
    <xf borderId="1" fillId="6" fontId="7" numFmtId="0" xfId="0" applyAlignment="1" applyBorder="1" applyFont="1">
      <alignment horizontal="center" vertical="center"/>
    </xf>
    <xf borderId="12" fillId="6" fontId="7" numFmtId="0" xfId="0" applyAlignment="1" applyBorder="1" applyFont="1">
      <alignment horizontal="center" vertical="center"/>
    </xf>
    <xf borderId="14" fillId="6" fontId="7" numFmtId="0" xfId="0" applyAlignment="1" applyBorder="1" applyFont="1">
      <alignment horizontal="center" vertical="center"/>
    </xf>
    <xf borderId="12" fillId="6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6.71"/>
    <col customWidth="1" min="3" max="3" width="18.86"/>
    <col customWidth="1" min="4" max="4" width="29.29"/>
    <col customWidth="1" min="5" max="5" width="5.86"/>
    <col customWidth="1" min="6" max="6" width="4.71"/>
    <col customWidth="1" min="7" max="7" width="8.29"/>
    <col customWidth="1" min="8" max="8" width="9.71"/>
    <col customWidth="1" min="9" max="9" width="9.43"/>
    <col customWidth="1" min="10" max="10" width="12.71"/>
    <col customWidth="1" min="11" max="12" width="14.43"/>
    <col customWidth="1" min="13" max="13" width="15.14"/>
    <col customWidth="1" min="14" max="17" width="10.71"/>
    <col customWidth="1" min="19" max="31" width="8.71"/>
  </cols>
  <sheetData>
    <row r="1">
      <c r="A1" s="1" t="s">
        <v>0</v>
      </c>
      <c r="B1" s="2"/>
      <c r="C1" s="3"/>
      <c r="D1" s="4" t="s">
        <v>1</v>
      </c>
      <c r="E1" s="2"/>
      <c r="F1" s="2"/>
      <c r="G1" s="3"/>
      <c r="H1" s="5" t="s">
        <v>2</v>
      </c>
      <c r="I1" s="2"/>
      <c r="J1" s="3"/>
      <c r="K1" s="6"/>
      <c r="L1" s="7"/>
      <c r="M1" s="8"/>
      <c r="N1" s="9"/>
      <c r="O1" s="9"/>
      <c r="P1" s="9"/>
      <c r="Q1" s="10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>
      <c r="A2" s="12" t="s">
        <v>3</v>
      </c>
      <c r="B2" s="2"/>
      <c r="C2" s="3"/>
      <c r="D2" s="12" t="s">
        <v>4</v>
      </c>
      <c r="E2" s="2"/>
      <c r="F2" s="2"/>
      <c r="G2" s="3"/>
      <c r="H2" s="4" t="s">
        <v>5</v>
      </c>
      <c r="I2" s="2"/>
      <c r="J2" s="3"/>
      <c r="K2" s="13"/>
      <c r="L2" s="14"/>
      <c r="M2" s="15"/>
      <c r="N2" s="16"/>
      <c r="O2" s="16"/>
      <c r="P2" s="16"/>
      <c r="Q2" s="17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8"/>
      <c r="B3" s="19" t="s">
        <v>6</v>
      </c>
      <c r="C3" s="19">
        <v>100000.0</v>
      </c>
      <c r="D3" s="18"/>
      <c r="E3" s="18"/>
      <c r="F3" s="18"/>
      <c r="G3" s="18"/>
      <c r="H3" s="20"/>
      <c r="I3" s="20"/>
      <c r="J3" s="20"/>
      <c r="K3" s="13"/>
      <c r="L3" s="13"/>
      <c r="M3" s="21"/>
      <c r="N3" s="16"/>
      <c r="O3" s="16"/>
      <c r="P3" s="16"/>
      <c r="Q3" s="17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22" t="s">
        <v>7</v>
      </c>
      <c r="B4" s="22" t="s">
        <v>8</v>
      </c>
      <c r="C4" s="22" t="s">
        <v>9</v>
      </c>
      <c r="D4" s="22" t="s">
        <v>10</v>
      </c>
      <c r="E4" s="22" t="s">
        <v>11</v>
      </c>
      <c r="F4" s="22" t="s">
        <v>12</v>
      </c>
      <c r="G4" s="23" t="s">
        <v>13</v>
      </c>
      <c r="H4" s="22" t="s">
        <v>14</v>
      </c>
      <c r="I4" s="24" t="s">
        <v>15</v>
      </c>
      <c r="J4" s="25" t="s">
        <v>16</v>
      </c>
      <c r="K4" s="26" t="s">
        <v>17</v>
      </c>
      <c r="L4" s="24" t="s">
        <v>18</v>
      </c>
      <c r="M4" s="27" t="s">
        <v>19</v>
      </c>
      <c r="N4" s="28" t="s">
        <v>20</v>
      </c>
      <c r="O4" s="28" t="s">
        <v>21</v>
      </c>
      <c r="P4" s="28" t="s">
        <v>22</v>
      </c>
      <c r="Q4" s="25" t="s">
        <v>23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>
      <c r="A5" s="29" t="s">
        <v>24</v>
      </c>
      <c r="B5" s="30" t="s">
        <v>25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32" t="s">
        <v>26</v>
      </c>
      <c r="B6" s="33" t="s">
        <v>27</v>
      </c>
      <c r="C6" s="33"/>
      <c r="D6" s="32" t="s">
        <v>28</v>
      </c>
      <c r="E6" s="32">
        <v>1.0</v>
      </c>
      <c r="F6" s="32" t="s">
        <v>29</v>
      </c>
      <c r="G6" s="32">
        <v>250000.0</v>
      </c>
      <c r="H6" s="32">
        <f t="shared" ref="H6:H12" si="1">E6*G6</f>
        <v>250000</v>
      </c>
      <c r="I6" s="32">
        <f t="shared" ref="I6:I12" si="2">+H6</f>
        <v>250000</v>
      </c>
      <c r="J6" s="34">
        <f t="shared" ref="J6:J12" si="3">I6</f>
        <v>250000</v>
      </c>
      <c r="K6" s="32"/>
      <c r="L6" s="32"/>
      <c r="M6" s="35"/>
      <c r="N6" s="36" t="s">
        <v>30</v>
      </c>
      <c r="O6" s="37"/>
      <c r="P6" s="37"/>
      <c r="Q6" s="34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38" t="s">
        <v>26</v>
      </c>
      <c r="B7" s="39" t="s">
        <v>27</v>
      </c>
      <c r="C7" s="39"/>
      <c r="D7" s="38" t="s">
        <v>31</v>
      </c>
      <c r="E7" s="38">
        <v>1.0</v>
      </c>
      <c r="F7" s="38" t="s">
        <v>29</v>
      </c>
      <c r="G7" s="38">
        <v>20000.0</v>
      </c>
      <c r="H7" s="32">
        <f t="shared" si="1"/>
        <v>20000</v>
      </c>
      <c r="I7" s="32">
        <f t="shared" si="2"/>
        <v>20000</v>
      </c>
      <c r="J7" s="34">
        <f t="shared" si="3"/>
        <v>20000</v>
      </c>
      <c r="K7" s="32"/>
      <c r="L7" s="32"/>
      <c r="M7" s="40"/>
      <c r="N7" s="41"/>
      <c r="O7" s="41"/>
      <c r="P7" s="41"/>
      <c r="Q7" s="34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38" t="s">
        <v>26</v>
      </c>
      <c r="B8" s="39" t="s">
        <v>32</v>
      </c>
      <c r="C8" s="39"/>
      <c r="D8" s="38" t="s">
        <v>33</v>
      </c>
      <c r="E8" s="38">
        <v>1.0</v>
      </c>
      <c r="F8" s="38" t="s">
        <v>29</v>
      </c>
      <c r="G8" s="38">
        <v>250000.0</v>
      </c>
      <c r="H8" s="32">
        <f t="shared" si="1"/>
        <v>250000</v>
      </c>
      <c r="I8" s="32">
        <f t="shared" si="2"/>
        <v>250000</v>
      </c>
      <c r="J8" s="34">
        <f t="shared" si="3"/>
        <v>250000</v>
      </c>
      <c r="K8" s="42"/>
      <c r="L8" s="38"/>
      <c r="M8" s="40"/>
      <c r="N8" s="41"/>
      <c r="O8" s="41"/>
      <c r="P8" s="41"/>
      <c r="Q8" s="43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38" t="s">
        <v>26</v>
      </c>
      <c r="B9" s="39" t="s">
        <v>32</v>
      </c>
      <c r="C9" s="39"/>
      <c r="D9" s="38" t="s">
        <v>34</v>
      </c>
      <c r="E9" s="38">
        <v>1.0</v>
      </c>
      <c r="F9" s="38" t="s">
        <v>29</v>
      </c>
      <c r="G9" s="38">
        <v>180000.0</v>
      </c>
      <c r="H9" s="32">
        <f t="shared" si="1"/>
        <v>180000</v>
      </c>
      <c r="I9" s="32">
        <f t="shared" si="2"/>
        <v>180000</v>
      </c>
      <c r="J9" s="34">
        <f t="shared" si="3"/>
        <v>180000</v>
      </c>
      <c r="K9" s="42"/>
      <c r="L9" s="38"/>
      <c r="M9" s="40"/>
      <c r="N9" s="41"/>
      <c r="O9" s="41"/>
      <c r="P9" s="41"/>
      <c r="Q9" s="43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32" t="s">
        <v>26</v>
      </c>
      <c r="B10" s="33" t="s">
        <v>35</v>
      </c>
      <c r="C10" s="33"/>
      <c r="D10" s="32"/>
      <c r="E10" s="32">
        <v>2.0</v>
      </c>
      <c r="F10" s="32" t="s">
        <v>29</v>
      </c>
      <c r="G10" s="32">
        <v>50000.0</v>
      </c>
      <c r="H10" s="32">
        <f t="shared" si="1"/>
        <v>100000</v>
      </c>
      <c r="I10" s="32">
        <f t="shared" si="2"/>
        <v>100000</v>
      </c>
      <c r="J10" s="34">
        <f t="shared" si="3"/>
        <v>100000</v>
      </c>
      <c r="K10" s="32"/>
      <c r="L10" s="32"/>
      <c r="M10" s="32"/>
      <c r="N10" s="34"/>
      <c r="O10" s="34"/>
      <c r="P10" s="34"/>
      <c r="Q10" s="34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32" t="s">
        <v>26</v>
      </c>
      <c r="B11" s="33" t="s">
        <v>36</v>
      </c>
      <c r="C11" s="33"/>
      <c r="D11" s="32"/>
      <c r="E11" s="32">
        <v>1.0</v>
      </c>
      <c r="F11" s="32" t="s">
        <v>29</v>
      </c>
      <c r="G11" s="32">
        <v>25000.0</v>
      </c>
      <c r="H11" s="32">
        <f t="shared" si="1"/>
        <v>25000</v>
      </c>
      <c r="I11" s="32">
        <f t="shared" si="2"/>
        <v>25000</v>
      </c>
      <c r="J11" s="34">
        <f t="shared" si="3"/>
        <v>25000</v>
      </c>
      <c r="K11" s="32"/>
      <c r="L11" s="32"/>
      <c r="M11" s="32"/>
      <c r="N11" s="34"/>
      <c r="O11" s="34"/>
      <c r="P11" s="34"/>
      <c r="Q11" s="34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32" t="s">
        <v>26</v>
      </c>
      <c r="B12" s="33" t="s">
        <v>37</v>
      </c>
      <c r="C12" s="33"/>
      <c r="D12" s="32"/>
      <c r="E12" s="32">
        <v>1.0</v>
      </c>
      <c r="F12" s="32" t="s">
        <v>29</v>
      </c>
      <c r="G12" s="32">
        <f>'Lilly Pound'!J33</f>
        <v>340100</v>
      </c>
      <c r="H12" s="32">
        <f t="shared" si="1"/>
        <v>340100</v>
      </c>
      <c r="I12" s="32">
        <f t="shared" si="2"/>
        <v>340100</v>
      </c>
      <c r="J12" s="34">
        <f t="shared" si="3"/>
        <v>340100</v>
      </c>
      <c r="K12" s="32"/>
      <c r="L12" s="32"/>
      <c r="M12" s="32"/>
      <c r="N12" s="34"/>
      <c r="O12" s="34"/>
      <c r="P12" s="34"/>
      <c r="Q12" s="34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44" t="s">
        <v>38</v>
      </c>
      <c r="B13" s="45" t="s">
        <v>39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32" t="s">
        <v>26</v>
      </c>
      <c r="B14" s="47" t="s">
        <v>40</v>
      </c>
      <c r="C14" s="32"/>
      <c r="D14" s="32"/>
      <c r="E14" s="48">
        <v>1.0</v>
      </c>
      <c r="F14" s="32" t="s">
        <v>29</v>
      </c>
      <c r="G14" s="32">
        <v>25000.0</v>
      </c>
      <c r="H14" s="32">
        <f t="shared" ref="H14:H16" si="4">G14*E14</f>
        <v>25000</v>
      </c>
      <c r="I14" s="32">
        <f t="shared" ref="I14:I16" si="5">+H14</f>
        <v>25000</v>
      </c>
      <c r="J14" s="34">
        <f>I14</f>
        <v>25000</v>
      </c>
      <c r="K14" s="32"/>
      <c r="L14" s="32"/>
      <c r="M14" s="35"/>
      <c r="N14" s="37"/>
      <c r="O14" s="37"/>
      <c r="P14" s="37"/>
      <c r="Q14" s="34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38" t="s">
        <v>26</v>
      </c>
      <c r="B15" s="49" t="s">
        <v>41</v>
      </c>
      <c r="C15" s="32" t="s">
        <v>42</v>
      </c>
      <c r="D15" s="50" t="s">
        <v>43</v>
      </c>
      <c r="E15" s="48">
        <v>1.0</v>
      </c>
      <c r="F15" s="32" t="s">
        <v>29</v>
      </c>
      <c r="G15" s="32">
        <v>15000.0</v>
      </c>
      <c r="H15" s="32">
        <f t="shared" si="4"/>
        <v>15000</v>
      </c>
      <c r="I15" s="38">
        <f t="shared" si="5"/>
        <v>15000</v>
      </c>
      <c r="J15" s="34">
        <v>15000.0</v>
      </c>
      <c r="K15" s="42"/>
      <c r="L15" s="38"/>
      <c r="M15" s="38"/>
      <c r="N15" s="43"/>
      <c r="O15" s="43"/>
      <c r="P15" s="43"/>
      <c r="Q15" s="43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38" t="s">
        <v>26</v>
      </c>
      <c r="B16" s="49" t="s">
        <v>44</v>
      </c>
      <c r="C16" s="32"/>
      <c r="D16" s="50" t="s">
        <v>45</v>
      </c>
      <c r="E16" s="48">
        <v>1.0</v>
      </c>
      <c r="F16" s="32" t="s">
        <v>29</v>
      </c>
      <c r="G16" s="32">
        <v>13000.0</v>
      </c>
      <c r="H16" s="32">
        <f t="shared" si="4"/>
        <v>13000</v>
      </c>
      <c r="I16" s="38">
        <f t="shared" si="5"/>
        <v>13000</v>
      </c>
      <c r="J16" s="51">
        <f>I16</f>
        <v>13000</v>
      </c>
      <c r="K16" s="38"/>
      <c r="L16" s="38"/>
      <c r="M16" s="38"/>
      <c r="N16" s="51"/>
      <c r="O16" s="51"/>
      <c r="P16" s="51"/>
      <c r="Q16" s="5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44" t="s">
        <v>46</v>
      </c>
      <c r="B17" s="45" t="s">
        <v>47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32" t="s">
        <v>26</v>
      </c>
      <c r="B18" s="33"/>
      <c r="C18" s="33" t="s">
        <v>48</v>
      </c>
      <c r="D18" s="49" t="s">
        <v>49</v>
      </c>
      <c r="E18" s="32">
        <v>150.0</v>
      </c>
      <c r="F18" s="32" t="s">
        <v>29</v>
      </c>
      <c r="G18" s="48">
        <v>225.0</v>
      </c>
      <c r="H18" s="32">
        <f t="shared" ref="H18:H26" si="6">G18*E18</f>
        <v>33750</v>
      </c>
      <c r="I18" s="42">
        <f>SUM(H18:H22)</f>
        <v>80750</v>
      </c>
      <c r="J18" s="43">
        <v>85000.0</v>
      </c>
      <c r="K18" s="42"/>
      <c r="L18" s="42"/>
      <c r="M18" s="42"/>
      <c r="N18" s="43"/>
      <c r="O18" s="43"/>
      <c r="P18" s="43"/>
      <c r="Q18" s="43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32" t="s">
        <v>26</v>
      </c>
      <c r="B19" s="33"/>
      <c r="C19" s="33" t="s">
        <v>50</v>
      </c>
      <c r="D19" s="49" t="s">
        <v>49</v>
      </c>
      <c r="E19" s="32">
        <v>50.0</v>
      </c>
      <c r="F19" s="32" t="s">
        <v>29</v>
      </c>
      <c r="G19" s="48">
        <v>200.0</v>
      </c>
      <c r="H19" s="32">
        <f t="shared" si="6"/>
        <v>10000</v>
      </c>
      <c r="I19" s="52"/>
      <c r="J19" s="52"/>
      <c r="K19" s="42"/>
      <c r="L19" s="52"/>
      <c r="M19" s="52"/>
      <c r="N19" s="43"/>
      <c r="O19" s="43"/>
      <c r="P19" s="43"/>
      <c r="Q19" s="43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32" t="s">
        <v>26</v>
      </c>
      <c r="B20" s="33"/>
      <c r="C20" s="33"/>
      <c r="D20" s="49" t="s">
        <v>51</v>
      </c>
      <c r="E20" s="32">
        <v>80.0</v>
      </c>
      <c r="F20" s="32" t="s">
        <v>29</v>
      </c>
      <c r="G20" s="48">
        <v>225.0</v>
      </c>
      <c r="H20" s="32">
        <f t="shared" si="6"/>
        <v>18000</v>
      </c>
      <c r="I20" s="52"/>
      <c r="J20" s="52"/>
      <c r="K20" s="42"/>
      <c r="L20" s="52"/>
      <c r="M20" s="52"/>
      <c r="N20" s="43"/>
      <c r="O20" s="43"/>
      <c r="P20" s="43"/>
      <c r="Q20" s="43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32" t="s">
        <v>26</v>
      </c>
      <c r="B21" s="33"/>
      <c r="C21" s="33"/>
      <c r="D21" s="49" t="s">
        <v>52</v>
      </c>
      <c r="E21" s="32">
        <v>6.0</v>
      </c>
      <c r="F21" s="32" t="s">
        <v>29</v>
      </c>
      <c r="G21" s="48">
        <v>1500.0</v>
      </c>
      <c r="H21" s="32">
        <f t="shared" si="6"/>
        <v>9000</v>
      </c>
      <c r="I21" s="52"/>
      <c r="J21" s="52"/>
      <c r="K21" s="42"/>
      <c r="L21" s="52"/>
      <c r="M21" s="52"/>
      <c r="N21" s="43"/>
      <c r="O21" s="43"/>
      <c r="P21" s="43"/>
      <c r="Q21" s="43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32" t="s">
        <v>26</v>
      </c>
      <c r="B22" s="33"/>
      <c r="C22" s="33"/>
      <c r="D22" s="49" t="s">
        <v>53</v>
      </c>
      <c r="E22" s="32">
        <v>1.0</v>
      </c>
      <c r="F22" s="32" t="s">
        <v>29</v>
      </c>
      <c r="G22" s="48">
        <v>10000.0</v>
      </c>
      <c r="H22" s="32">
        <f t="shared" si="6"/>
        <v>10000</v>
      </c>
      <c r="I22" s="53"/>
      <c r="J22" s="52"/>
      <c r="K22" s="42"/>
      <c r="L22" s="52"/>
      <c r="M22" s="52"/>
      <c r="N22" s="43"/>
      <c r="O22" s="43"/>
      <c r="P22" s="43"/>
      <c r="Q22" s="43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32"/>
      <c r="B23" s="33"/>
      <c r="C23" s="33" t="s">
        <v>54</v>
      </c>
      <c r="D23" s="49" t="s">
        <v>55</v>
      </c>
      <c r="E23" s="32">
        <v>1.0</v>
      </c>
      <c r="F23" s="32" t="s">
        <v>29</v>
      </c>
      <c r="G23" s="48">
        <v>7500.0</v>
      </c>
      <c r="H23" s="32">
        <f t="shared" si="6"/>
        <v>7500</v>
      </c>
      <c r="I23" s="42">
        <f>SUM(H23:H24)</f>
        <v>19500</v>
      </c>
      <c r="J23" s="52"/>
      <c r="K23" s="42"/>
      <c r="L23" s="52"/>
      <c r="M23" s="52"/>
      <c r="N23" s="43"/>
      <c r="O23" s="43"/>
      <c r="P23" s="43"/>
      <c r="Q23" s="43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32"/>
      <c r="B24" s="33"/>
      <c r="C24" s="33"/>
      <c r="D24" s="49" t="s">
        <v>56</v>
      </c>
      <c r="E24" s="32">
        <v>1.0</v>
      </c>
      <c r="F24" s="32" t="s">
        <v>29</v>
      </c>
      <c r="G24" s="48">
        <v>12000.0</v>
      </c>
      <c r="H24" s="32">
        <f t="shared" si="6"/>
        <v>12000</v>
      </c>
      <c r="I24" s="54"/>
      <c r="J24" s="53"/>
      <c r="K24" s="42"/>
      <c r="L24" s="52"/>
      <c r="M24" s="52"/>
      <c r="N24" s="43"/>
      <c r="O24" s="43"/>
      <c r="P24" s="43"/>
      <c r="Q24" s="43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32" t="s">
        <v>26</v>
      </c>
      <c r="B25" s="33"/>
      <c r="C25" s="55" t="s">
        <v>57</v>
      </c>
      <c r="D25" s="33" t="s">
        <v>58</v>
      </c>
      <c r="E25" s="48">
        <f>70+70+20+20+20+20+20+20+20+24+24+24+24</f>
        <v>376</v>
      </c>
      <c r="F25" s="48" t="s">
        <v>59</v>
      </c>
      <c r="G25" s="48">
        <v>110.0</v>
      </c>
      <c r="H25" s="48">
        <f t="shared" si="6"/>
        <v>41360</v>
      </c>
      <c r="I25" s="42">
        <f>SUM(H25:H26)</f>
        <v>51360</v>
      </c>
      <c r="J25" s="43">
        <v>50000.0</v>
      </c>
      <c r="K25" s="42"/>
      <c r="L25" s="52"/>
      <c r="M25" s="52"/>
      <c r="N25" s="43"/>
      <c r="O25" s="43"/>
      <c r="P25" s="43"/>
      <c r="Q25" s="43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32" t="s">
        <v>26</v>
      </c>
      <c r="B26" s="33"/>
      <c r="C26" s="33"/>
      <c r="D26" s="56" t="s">
        <v>60</v>
      </c>
      <c r="E26" s="57">
        <v>1.0</v>
      </c>
      <c r="F26" s="57" t="s">
        <v>29</v>
      </c>
      <c r="G26" s="48">
        <v>10000.0</v>
      </c>
      <c r="H26" s="48">
        <f t="shared" si="6"/>
        <v>10000</v>
      </c>
      <c r="I26" s="53"/>
      <c r="J26" s="53"/>
      <c r="K26" s="42"/>
      <c r="L26" s="54"/>
      <c r="M26" s="54"/>
      <c r="N26" s="43"/>
      <c r="O26" s="43"/>
      <c r="P26" s="43"/>
      <c r="Q26" s="43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58"/>
      <c r="B27" s="59" t="s">
        <v>61</v>
      </c>
      <c r="C27" s="59"/>
      <c r="D27" s="60"/>
      <c r="E27" s="61"/>
      <c r="F27" s="61"/>
      <c r="G27" s="62"/>
      <c r="H27" s="62"/>
      <c r="I27" s="62"/>
      <c r="J27" s="63"/>
      <c r="K27" s="64"/>
      <c r="L27" s="65"/>
      <c r="M27" s="65"/>
      <c r="N27" s="66"/>
      <c r="O27" s="66"/>
      <c r="P27" s="66"/>
      <c r="Q27" s="66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67"/>
      <c r="B28" s="33"/>
      <c r="C28" s="56"/>
      <c r="D28" s="68" t="s">
        <v>62</v>
      </c>
      <c r="E28" s="69">
        <f>60*12</f>
        <v>720</v>
      </c>
      <c r="F28" s="69" t="s">
        <v>63</v>
      </c>
      <c r="G28" s="69">
        <v>110.0</v>
      </c>
      <c r="H28" s="68">
        <f>E28*G28</f>
        <v>79200</v>
      </c>
      <c r="I28" s="42">
        <f>SUM(H28:H30)</f>
        <v>124200</v>
      </c>
      <c r="J28" s="43">
        <v>110000.0</v>
      </c>
      <c r="K28" s="32"/>
      <c r="L28" s="42"/>
      <c r="M28" s="42"/>
      <c r="N28" s="34"/>
      <c r="O28" s="34"/>
      <c r="P28" s="34"/>
      <c r="Q28" s="34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67"/>
      <c r="B29" s="33"/>
      <c r="C29" s="56"/>
      <c r="D29" s="68" t="s">
        <v>64</v>
      </c>
      <c r="E29" s="69">
        <v>1520.0</v>
      </c>
      <c r="F29" s="69" t="s">
        <v>63</v>
      </c>
      <c r="G29" s="69">
        <v>0.0</v>
      </c>
      <c r="H29" s="68">
        <v>35000.0</v>
      </c>
      <c r="I29" s="52"/>
      <c r="J29" s="52"/>
      <c r="K29" s="32"/>
      <c r="L29" s="52"/>
      <c r="M29" s="52"/>
      <c r="N29" s="34"/>
      <c r="O29" s="34"/>
      <c r="P29" s="34"/>
      <c r="Q29" s="34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67"/>
      <c r="B30" s="33"/>
      <c r="C30" s="56"/>
      <c r="D30" s="68" t="s">
        <v>60</v>
      </c>
      <c r="E30" s="69">
        <v>1.0</v>
      </c>
      <c r="F30" s="69" t="s">
        <v>29</v>
      </c>
      <c r="G30" s="68">
        <v>10000.0</v>
      </c>
      <c r="H30" s="68">
        <v>10000.0</v>
      </c>
      <c r="I30" s="53"/>
      <c r="J30" s="53"/>
      <c r="K30" s="32"/>
      <c r="L30" s="53"/>
      <c r="M30" s="53"/>
      <c r="N30" s="34"/>
      <c r="O30" s="34"/>
      <c r="P30" s="34"/>
      <c r="Q30" s="34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44" t="s">
        <v>65</v>
      </c>
      <c r="B31" s="46" t="s">
        <v>66</v>
      </c>
      <c r="C31" s="46"/>
      <c r="D31" s="46"/>
      <c r="E31" s="46"/>
      <c r="F31" s="46"/>
      <c r="G31" s="46"/>
      <c r="H31" s="46"/>
      <c r="I31" s="46"/>
      <c r="J31" s="46"/>
      <c r="K31" s="70"/>
      <c r="L31" s="70"/>
      <c r="M31" s="70"/>
      <c r="N31" s="70"/>
      <c r="O31" s="70"/>
      <c r="P31" s="70"/>
      <c r="Q31" s="46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32" t="s">
        <v>26</v>
      </c>
      <c r="B32" s="33"/>
      <c r="C32" s="71" t="s">
        <v>67</v>
      </c>
      <c r="D32" s="49" t="s">
        <v>68</v>
      </c>
      <c r="E32" s="32">
        <f>60*30</f>
        <v>1800</v>
      </c>
      <c r="F32" s="48" t="s">
        <v>69</v>
      </c>
      <c r="G32" s="48">
        <v>25.0</v>
      </c>
      <c r="H32" s="32">
        <f>G32*E32</f>
        <v>45000</v>
      </c>
      <c r="I32" s="42">
        <f>SUM(H32:H35)</f>
        <v>65800</v>
      </c>
      <c r="J32" s="43">
        <v>60000.0</v>
      </c>
      <c r="K32" s="32"/>
      <c r="L32" s="42"/>
      <c r="M32" s="42"/>
      <c r="N32" s="34"/>
      <c r="O32" s="34"/>
      <c r="P32" s="34"/>
      <c r="Q32" s="34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32"/>
      <c r="B33" s="33"/>
      <c r="C33" s="72" t="s">
        <v>70</v>
      </c>
      <c r="D33" s="73" t="s">
        <v>71</v>
      </c>
      <c r="E33" s="74">
        <v>240.0</v>
      </c>
      <c r="F33" s="74" t="s">
        <v>29</v>
      </c>
      <c r="G33" s="75">
        <v>25.0</v>
      </c>
      <c r="H33" s="74">
        <v>6000.0</v>
      </c>
      <c r="I33" s="52"/>
      <c r="J33" s="52"/>
      <c r="K33" s="32"/>
      <c r="L33" s="52"/>
      <c r="M33" s="52"/>
      <c r="N33" s="34"/>
      <c r="O33" s="34"/>
      <c r="P33" s="34"/>
      <c r="Q33" s="34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32"/>
      <c r="B34" s="33"/>
      <c r="C34" s="71" t="s">
        <v>72</v>
      </c>
      <c r="D34" s="49" t="s">
        <v>73</v>
      </c>
      <c r="E34" s="32">
        <f>16*12</f>
        <v>192</v>
      </c>
      <c r="F34" s="48" t="s">
        <v>63</v>
      </c>
      <c r="G34" s="48">
        <v>25.0</v>
      </c>
      <c r="H34" s="32">
        <f t="shared" ref="H34:H35" si="7">G34*E34</f>
        <v>4800</v>
      </c>
      <c r="I34" s="52"/>
      <c r="J34" s="52"/>
      <c r="K34" s="32"/>
      <c r="L34" s="52"/>
      <c r="M34" s="52"/>
      <c r="N34" s="34"/>
      <c r="O34" s="34"/>
      <c r="P34" s="34"/>
      <c r="Q34" s="34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32" t="s">
        <v>26</v>
      </c>
      <c r="B35" s="33"/>
      <c r="C35" s="71"/>
      <c r="D35" s="49" t="s">
        <v>60</v>
      </c>
      <c r="E35" s="32">
        <v>1.0</v>
      </c>
      <c r="F35" s="32" t="s">
        <v>29</v>
      </c>
      <c r="G35" s="48">
        <v>10000.0</v>
      </c>
      <c r="H35" s="32">
        <f t="shared" si="7"/>
        <v>10000</v>
      </c>
      <c r="I35" s="53"/>
      <c r="J35" s="53"/>
      <c r="K35" s="32"/>
      <c r="L35" s="53"/>
      <c r="M35" s="53"/>
      <c r="N35" s="34"/>
      <c r="O35" s="34"/>
      <c r="P35" s="34"/>
      <c r="Q35" s="34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44" t="s">
        <v>74</v>
      </c>
      <c r="B36" s="45" t="s">
        <v>75</v>
      </c>
      <c r="C36" s="46"/>
      <c r="D36" s="46"/>
      <c r="E36" s="46"/>
      <c r="F36" s="46"/>
      <c r="G36" s="46"/>
      <c r="H36" s="46"/>
      <c r="I36" s="46"/>
      <c r="J36" s="46"/>
      <c r="K36" s="70"/>
      <c r="L36" s="70"/>
      <c r="M36" s="70"/>
      <c r="N36" s="70"/>
      <c r="O36" s="70"/>
      <c r="P36" s="70"/>
      <c r="Q36" s="46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32" t="s">
        <v>26</v>
      </c>
      <c r="B37" s="76"/>
      <c r="C37" s="76"/>
      <c r="D37" s="56" t="s">
        <v>76</v>
      </c>
      <c r="E37" s="57">
        <v>1.0</v>
      </c>
      <c r="F37" s="57" t="s">
        <v>29</v>
      </c>
      <c r="G37" s="48">
        <v>3000.0</v>
      </c>
      <c r="H37" s="48">
        <f t="shared" ref="H37:H39" si="8">G37*E37</f>
        <v>3000</v>
      </c>
      <c r="I37" s="77">
        <f>SUM(H37:H39)</f>
        <v>30000</v>
      </c>
      <c r="J37" s="43">
        <f>I37</f>
        <v>30000</v>
      </c>
      <c r="K37" s="38"/>
      <c r="L37" s="42"/>
      <c r="M37" s="42"/>
      <c r="N37" s="51"/>
      <c r="O37" s="51"/>
      <c r="P37" s="51"/>
      <c r="Q37" s="5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32" t="s">
        <v>26</v>
      </c>
      <c r="B38" s="76"/>
      <c r="C38" s="76"/>
      <c r="D38" s="56" t="s">
        <v>77</v>
      </c>
      <c r="E38" s="57">
        <v>12.0</v>
      </c>
      <c r="F38" s="57" t="s">
        <v>29</v>
      </c>
      <c r="G38" s="48">
        <v>500.0</v>
      </c>
      <c r="H38" s="48">
        <f t="shared" si="8"/>
        <v>6000</v>
      </c>
      <c r="I38" s="52"/>
      <c r="J38" s="52"/>
      <c r="K38" s="38"/>
      <c r="L38" s="52"/>
      <c r="M38" s="52"/>
      <c r="N38" s="51"/>
      <c r="O38" s="51"/>
      <c r="P38" s="51"/>
      <c r="Q38" s="5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32" t="s">
        <v>26</v>
      </c>
      <c r="B39" s="76"/>
      <c r="C39" s="76"/>
      <c r="D39" s="56" t="s">
        <v>78</v>
      </c>
      <c r="E39" s="57">
        <v>6.0</v>
      </c>
      <c r="F39" s="57" t="s">
        <v>29</v>
      </c>
      <c r="G39" s="48">
        <v>3500.0</v>
      </c>
      <c r="H39" s="48">
        <f t="shared" si="8"/>
        <v>21000</v>
      </c>
      <c r="I39" s="52"/>
      <c r="J39" s="54"/>
      <c r="K39" s="38"/>
      <c r="L39" s="54"/>
      <c r="M39" s="54"/>
      <c r="N39" s="51"/>
      <c r="O39" s="51"/>
      <c r="P39" s="51"/>
      <c r="Q39" s="5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44" t="s">
        <v>79</v>
      </c>
      <c r="B40" s="45" t="s">
        <v>80</v>
      </c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78" t="s">
        <v>26</v>
      </c>
      <c r="B41" s="79" t="s">
        <v>81</v>
      </c>
      <c r="C41" s="80" t="s">
        <v>82</v>
      </c>
      <c r="D41" s="81" t="s">
        <v>83</v>
      </c>
      <c r="E41" s="50">
        <v>10.0</v>
      </c>
      <c r="F41" s="32" t="s">
        <v>29</v>
      </c>
      <c r="G41" s="50">
        <v>1000.0</v>
      </c>
      <c r="H41" s="32">
        <f t="shared" ref="H41:H53" si="9">E41*G41</f>
        <v>10000</v>
      </c>
      <c r="I41" s="82">
        <f>SUM(H41:H47)</f>
        <v>70000</v>
      </c>
      <c r="J41" s="43">
        <v>0.0</v>
      </c>
      <c r="K41" s="32"/>
      <c r="L41" s="42"/>
      <c r="M41" s="83"/>
      <c r="N41" s="84"/>
      <c r="O41" s="84"/>
      <c r="P41" s="84"/>
      <c r="Q41" s="85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78"/>
      <c r="B42" s="79"/>
      <c r="C42" s="86" t="s">
        <v>84</v>
      </c>
      <c r="D42" s="81" t="s">
        <v>85</v>
      </c>
      <c r="E42" s="50">
        <v>10.0</v>
      </c>
      <c r="F42" s="32" t="s">
        <v>29</v>
      </c>
      <c r="G42" s="50">
        <v>1000.0</v>
      </c>
      <c r="H42" s="32">
        <f t="shared" si="9"/>
        <v>10000</v>
      </c>
      <c r="I42" s="52"/>
      <c r="J42" s="52"/>
      <c r="K42" s="32"/>
      <c r="L42" s="52"/>
      <c r="M42" s="87"/>
      <c r="N42" s="84"/>
      <c r="O42" s="84"/>
      <c r="P42" s="84"/>
      <c r="Q42" s="85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56"/>
      <c r="B43" s="56"/>
      <c r="C43" s="86" t="s">
        <v>84</v>
      </c>
      <c r="D43" s="81" t="s">
        <v>83</v>
      </c>
      <c r="E43" s="50">
        <v>10.0</v>
      </c>
      <c r="F43" s="32" t="s">
        <v>29</v>
      </c>
      <c r="G43" s="50">
        <v>1000.0</v>
      </c>
      <c r="H43" s="32">
        <f t="shared" si="9"/>
        <v>10000</v>
      </c>
      <c r="I43" s="52"/>
      <c r="J43" s="52"/>
      <c r="K43" s="32"/>
      <c r="L43" s="52"/>
      <c r="M43" s="87"/>
      <c r="N43" s="84"/>
      <c r="O43" s="84"/>
      <c r="P43" s="84"/>
      <c r="Q43" s="85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56"/>
      <c r="B44" s="56"/>
      <c r="C44" s="86" t="s">
        <v>86</v>
      </c>
      <c r="D44" s="81" t="s">
        <v>85</v>
      </c>
      <c r="E44" s="50">
        <v>10.0</v>
      </c>
      <c r="F44" s="32" t="s">
        <v>29</v>
      </c>
      <c r="G44" s="50">
        <v>1000.0</v>
      </c>
      <c r="H44" s="32">
        <f t="shared" si="9"/>
        <v>10000</v>
      </c>
      <c r="I44" s="52"/>
      <c r="J44" s="52"/>
      <c r="K44" s="32"/>
      <c r="L44" s="52"/>
      <c r="M44" s="87"/>
      <c r="N44" s="84"/>
      <c r="O44" s="84"/>
      <c r="P44" s="84"/>
      <c r="Q44" s="85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56"/>
      <c r="B45" s="56"/>
      <c r="C45" s="86" t="s">
        <v>86</v>
      </c>
      <c r="D45" s="81" t="s">
        <v>83</v>
      </c>
      <c r="E45" s="50">
        <v>10.0</v>
      </c>
      <c r="F45" s="32" t="s">
        <v>29</v>
      </c>
      <c r="G45" s="50">
        <v>1000.0</v>
      </c>
      <c r="H45" s="32">
        <f t="shared" si="9"/>
        <v>10000</v>
      </c>
      <c r="I45" s="52"/>
      <c r="J45" s="52"/>
      <c r="K45" s="32"/>
      <c r="L45" s="52"/>
      <c r="M45" s="87"/>
      <c r="N45" s="84"/>
      <c r="O45" s="84"/>
      <c r="P45" s="84"/>
      <c r="Q45" s="85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56"/>
      <c r="B46" s="56"/>
      <c r="C46" s="86" t="s">
        <v>87</v>
      </c>
      <c r="D46" s="81" t="s">
        <v>85</v>
      </c>
      <c r="E46" s="50">
        <v>10.0</v>
      </c>
      <c r="F46" s="32" t="s">
        <v>29</v>
      </c>
      <c r="G46" s="50">
        <v>1000.0</v>
      </c>
      <c r="H46" s="32">
        <f t="shared" si="9"/>
        <v>10000</v>
      </c>
      <c r="I46" s="52"/>
      <c r="J46" s="52"/>
      <c r="K46" s="32"/>
      <c r="L46" s="52"/>
      <c r="M46" s="87"/>
      <c r="N46" s="84"/>
      <c r="O46" s="84"/>
      <c r="P46" s="84"/>
      <c r="Q46" s="85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56"/>
      <c r="B47" s="56"/>
      <c r="C47" s="86" t="s">
        <v>87</v>
      </c>
      <c r="D47" s="81" t="s">
        <v>83</v>
      </c>
      <c r="E47" s="50">
        <v>10.0</v>
      </c>
      <c r="F47" s="32" t="s">
        <v>29</v>
      </c>
      <c r="G47" s="50">
        <v>1000.0</v>
      </c>
      <c r="H47" s="32">
        <f t="shared" si="9"/>
        <v>10000</v>
      </c>
      <c r="I47" s="54"/>
      <c r="J47" s="53"/>
      <c r="K47" s="32"/>
      <c r="L47" s="53"/>
      <c r="M47" s="88"/>
      <c r="N47" s="84"/>
      <c r="O47" s="84"/>
      <c r="P47" s="84"/>
      <c r="Q47" s="85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32" t="s">
        <v>26</v>
      </c>
      <c r="B48" s="89" t="s">
        <v>88</v>
      </c>
      <c r="C48" s="80" t="s">
        <v>82</v>
      </c>
      <c r="D48" s="90" t="s">
        <v>83</v>
      </c>
      <c r="E48" s="91">
        <v>10.0</v>
      </c>
      <c r="F48" s="92" t="s">
        <v>89</v>
      </c>
      <c r="G48" s="91">
        <v>1200.0</v>
      </c>
      <c r="H48" s="92">
        <f t="shared" si="9"/>
        <v>12000</v>
      </c>
      <c r="I48" s="42">
        <f>SUM(H49:H53)</f>
        <v>114000</v>
      </c>
      <c r="J48" s="43">
        <f>I48</f>
        <v>114000</v>
      </c>
      <c r="K48" s="93"/>
      <c r="L48" s="94"/>
      <c r="M48" s="42"/>
      <c r="N48" s="51"/>
      <c r="O48" s="51"/>
      <c r="P48" s="51"/>
      <c r="Q48" s="5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32"/>
      <c r="B49" s="95"/>
      <c r="C49" s="86" t="s">
        <v>84</v>
      </c>
      <c r="D49" s="81" t="s">
        <v>85</v>
      </c>
      <c r="E49" s="50">
        <v>25.0</v>
      </c>
      <c r="F49" s="32" t="s">
        <v>29</v>
      </c>
      <c r="G49" s="50">
        <v>1200.0</v>
      </c>
      <c r="H49" s="32">
        <f t="shared" si="9"/>
        <v>30000</v>
      </c>
      <c r="I49" s="52"/>
      <c r="J49" s="52"/>
      <c r="K49" s="93"/>
      <c r="L49" s="52"/>
      <c r="M49" s="52"/>
      <c r="N49" s="51"/>
      <c r="O49" s="51"/>
      <c r="P49" s="51"/>
      <c r="Q49" s="5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32"/>
      <c r="B50" s="96"/>
      <c r="C50" s="86" t="s">
        <v>84</v>
      </c>
      <c r="D50" s="81" t="s">
        <v>83</v>
      </c>
      <c r="E50" s="50">
        <v>25.0</v>
      </c>
      <c r="F50" s="32" t="s">
        <v>29</v>
      </c>
      <c r="G50" s="50">
        <v>1200.0</v>
      </c>
      <c r="H50" s="32">
        <f t="shared" si="9"/>
        <v>30000</v>
      </c>
      <c r="I50" s="52"/>
      <c r="J50" s="52"/>
      <c r="K50" s="93"/>
      <c r="L50" s="52"/>
      <c r="M50" s="52"/>
      <c r="N50" s="51"/>
      <c r="O50" s="51"/>
      <c r="P50" s="51"/>
      <c r="Q50" s="5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32"/>
      <c r="B51" s="96"/>
      <c r="C51" s="86" t="s">
        <v>86</v>
      </c>
      <c r="D51" s="81" t="s">
        <v>85</v>
      </c>
      <c r="E51" s="50">
        <v>25.0</v>
      </c>
      <c r="F51" s="32" t="s">
        <v>29</v>
      </c>
      <c r="G51" s="50">
        <v>1200.0</v>
      </c>
      <c r="H51" s="32">
        <f t="shared" si="9"/>
        <v>30000</v>
      </c>
      <c r="I51" s="52"/>
      <c r="J51" s="52"/>
      <c r="K51" s="93"/>
      <c r="L51" s="52"/>
      <c r="M51" s="52"/>
      <c r="N51" s="51"/>
      <c r="O51" s="51"/>
      <c r="P51" s="51"/>
      <c r="Q51" s="5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32"/>
      <c r="B52" s="96"/>
      <c r="C52" s="86" t="s">
        <v>86</v>
      </c>
      <c r="D52" s="81" t="s">
        <v>83</v>
      </c>
      <c r="E52" s="50">
        <v>10.0</v>
      </c>
      <c r="F52" s="32" t="s">
        <v>29</v>
      </c>
      <c r="G52" s="50">
        <v>1200.0</v>
      </c>
      <c r="H52" s="32">
        <f t="shared" si="9"/>
        <v>12000</v>
      </c>
      <c r="I52" s="52"/>
      <c r="J52" s="52"/>
      <c r="K52" s="93"/>
      <c r="L52" s="52"/>
      <c r="M52" s="52"/>
      <c r="N52" s="51"/>
      <c r="O52" s="51"/>
      <c r="P52" s="51"/>
      <c r="Q52" s="5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32"/>
      <c r="B53" s="96"/>
      <c r="C53" s="86" t="s">
        <v>87</v>
      </c>
      <c r="D53" s="81" t="s">
        <v>85</v>
      </c>
      <c r="E53" s="50">
        <v>10.0</v>
      </c>
      <c r="F53" s="32" t="s">
        <v>29</v>
      </c>
      <c r="G53" s="50">
        <v>1200.0</v>
      </c>
      <c r="H53" s="32">
        <f t="shared" si="9"/>
        <v>12000</v>
      </c>
      <c r="I53" s="54"/>
      <c r="J53" s="54"/>
      <c r="K53" s="93"/>
      <c r="L53" s="54"/>
      <c r="M53" s="54"/>
      <c r="N53" s="51"/>
      <c r="O53" s="51"/>
      <c r="P53" s="51"/>
      <c r="Q53" s="5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32" t="s">
        <v>26</v>
      </c>
      <c r="B54" s="97" t="s">
        <v>90</v>
      </c>
      <c r="C54" s="86"/>
      <c r="D54" s="81"/>
      <c r="E54" s="50">
        <v>1.0</v>
      </c>
      <c r="F54" s="32" t="s">
        <v>29</v>
      </c>
      <c r="G54" s="50">
        <v>12000.0</v>
      </c>
      <c r="H54" s="32">
        <f t="shared" ref="H54:H55" si="10">G54*E54</f>
        <v>12000</v>
      </c>
      <c r="I54" s="38">
        <f>SUM(H54)</f>
        <v>12000</v>
      </c>
      <c r="J54" s="51">
        <f t="shared" ref="J54:J55" si="11">I54</f>
        <v>12000</v>
      </c>
      <c r="K54" s="98"/>
      <c r="L54" s="98"/>
      <c r="M54" s="99"/>
      <c r="N54" s="100"/>
      <c r="O54" s="100"/>
      <c r="P54" s="100"/>
      <c r="Q54" s="5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32" t="s">
        <v>26</v>
      </c>
      <c r="B55" s="97" t="s">
        <v>91</v>
      </c>
      <c r="C55" s="86"/>
      <c r="D55" s="81"/>
      <c r="E55" s="50">
        <v>10.0</v>
      </c>
      <c r="F55" s="32" t="s">
        <v>29</v>
      </c>
      <c r="G55" s="50">
        <v>800.0</v>
      </c>
      <c r="H55" s="32">
        <f t="shared" si="10"/>
        <v>8000</v>
      </c>
      <c r="I55" s="32">
        <f>+H55</f>
        <v>8000</v>
      </c>
      <c r="J55" s="34">
        <f t="shared" si="11"/>
        <v>8000</v>
      </c>
      <c r="K55" s="50"/>
      <c r="L55" s="50"/>
      <c r="M55" s="35"/>
      <c r="N55" s="37"/>
      <c r="O55" s="37"/>
      <c r="P55" s="37"/>
      <c r="Q55" s="34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9" t="s">
        <v>79</v>
      </c>
      <c r="B56" s="30" t="s">
        <v>92</v>
      </c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32" t="s">
        <v>26</v>
      </c>
      <c r="B57" s="71" t="s">
        <v>93</v>
      </c>
      <c r="C57" s="33"/>
      <c r="D57" s="56"/>
      <c r="E57" s="32">
        <v>1.0</v>
      </c>
      <c r="F57" s="32" t="s">
        <v>29</v>
      </c>
      <c r="G57" s="32">
        <v>50000.0</v>
      </c>
      <c r="H57" s="32">
        <f t="shared" ref="H57:H60" si="12">G57*E57</f>
        <v>50000</v>
      </c>
      <c r="I57" s="32">
        <f t="shared" ref="I57:I60" si="13">+H57</f>
        <v>50000</v>
      </c>
      <c r="J57" s="34">
        <f t="shared" ref="J57:J60" si="14">I57</f>
        <v>50000</v>
      </c>
      <c r="K57" s="50"/>
      <c r="L57" s="50"/>
      <c r="M57" s="101"/>
      <c r="N57" s="37"/>
      <c r="O57" s="37"/>
      <c r="P57" s="37"/>
      <c r="Q57" s="34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32" t="s">
        <v>26</v>
      </c>
      <c r="B58" s="71" t="s">
        <v>94</v>
      </c>
      <c r="C58" s="33"/>
      <c r="D58" s="56"/>
      <c r="E58" s="32">
        <v>1.0</v>
      </c>
      <c r="F58" s="32" t="s">
        <v>29</v>
      </c>
      <c r="G58" s="48">
        <v>50000.0</v>
      </c>
      <c r="H58" s="32">
        <f t="shared" si="12"/>
        <v>50000</v>
      </c>
      <c r="I58" s="32">
        <f t="shared" si="13"/>
        <v>50000</v>
      </c>
      <c r="J58" s="34">
        <f t="shared" si="14"/>
        <v>50000</v>
      </c>
      <c r="K58" s="50"/>
      <c r="L58" s="50"/>
      <c r="M58" s="101"/>
      <c r="N58" s="37"/>
      <c r="O58" s="37"/>
      <c r="P58" s="37"/>
      <c r="Q58" s="34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32" t="s">
        <v>26</v>
      </c>
      <c r="B59" s="71" t="s">
        <v>95</v>
      </c>
      <c r="C59" s="33"/>
      <c r="D59" s="56"/>
      <c r="E59" s="32">
        <v>1.0</v>
      </c>
      <c r="F59" s="32" t="s">
        <v>29</v>
      </c>
      <c r="G59" s="48">
        <v>30000.0</v>
      </c>
      <c r="H59" s="32">
        <f t="shared" si="12"/>
        <v>30000</v>
      </c>
      <c r="I59" s="32">
        <f t="shared" si="13"/>
        <v>30000</v>
      </c>
      <c r="J59" s="34">
        <f t="shared" si="14"/>
        <v>30000</v>
      </c>
      <c r="K59" s="50"/>
      <c r="L59" s="50"/>
      <c r="M59" s="101"/>
      <c r="N59" s="37"/>
      <c r="O59" s="37"/>
      <c r="P59" s="37"/>
      <c r="Q59" s="34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32" t="s">
        <v>26</v>
      </c>
      <c r="B60" s="71" t="s">
        <v>96</v>
      </c>
      <c r="C60" s="33"/>
      <c r="D60" s="56"/>
      <c r="E60" s="32">
        <v>1.0</v>
      </c>
      <c r="F60" s="32" t="s">
        <v>29</v>
      </c>
      <c r="G60" s="48">
        <v>300000.0</v>
      </c>
      <c r="H60" s="32">
        <f t="shared" si="12"/>
        <v>300000</v>
      </c>
      <c r="I60" s="32">
        <f t="shared" si="13"/>
        <v>300000</v>
      </c>
      <c r="J60" s="34">
        <f t="shared" si="14"/>
        <v>300000</v>
      </c>
      <c r="K60" s="50"/>
      <c r="L60" s="50"/>
      <c r="M60" s="101"/>
      <c r="N60" s="37"/>
      <c r="O60" s="37"/>
      <c r="P60" s="37"/>
      <c r="Q60" s="34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9" t="s">
        <v>97</v>
      </c>
      <c r="B61" s="30" t="s">
        <v>60</v>
      </c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32" t="s">
        <v>26</v>
      </c>
      <c r="B62" s="33" t="s">
        <v>98</v>
      </c>
      <c r="C62" s="33"/>
      <c r="D62" s="32"/>
      <c r="E62" s="32">
        <v>8.0</v>
      </c>
      <c r="F62" s="32" t="s">
        <v>29</v>
      </c>
      <c r="G62" s="32">
        <v>4500.0</v>
      </c>
      <c r="H62" s="32">
        <f t="shared" ref="H62:H63" si="15">G62*E62</f>
        <v>36000</v>
      </c>
      <c r="I62" s="38">
        <f t="shared" ref="I62:I63" si="16">SUM(H62)</f>
        <v>36000</v>
      </c>
      <c r="J62" s="43">
        <f>SUM(I62:I63)</f>
        <v>72000</v>
      </c>
      <c r="K62" s="50"/>
      <c r="L62" s="94"/>
      <c r="M62" s="94"/>
      <c r="N62" s="34"/>
      <c r="O62" s="34"/>
      <c r="P62" s="34"/>
      <c r="Q62" s="34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32" t="s">
        <v>26</v>
      </c>
      <c r="B63" s="33" t="s">
        <v>99</v>
      </c>
      <c r="C63" s="33"/>
      <c r="D63" s="32"/>
      <c r="E63" s="32">
        <v>8.0</v>
      </c>
      <c r="F63" s="32" t="s">
        <v>29</v>
      </c>
      <c r="G63" s="32">
        <v>4500.0</v>
      </c>
      <c r="H63" s="32">
        <f t="shared" si="15"/>
        <v>36000</v>
      </c>
      <c r="I63" s="38">
        <f t="shared" si="16"/>
        <v>36000</v>
      </c>
      <c r="J63" s="53"/>
      <c r="K63" s="50"/>
      <c r="L63" s="53"/>
      <c r="M63" s="53"/>
      <c r="N63" s="34"/>
      <c r="O63" s="34"/>
      <c r="P63" s="34"/>
      <c r="Q63" s="34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9" t="s">
        <v>100</v>
      </c>
      <c r="B64" s="30" t="s">
        <v>101</v>
      </c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78" t="s">
        <v>26</v>
      </c>
      <c r="B65" s="49" t="s">
        <v>102</v>
      </c>
      <c r="C65" s="18"/>
      <c r="D65" s="18"/>
      <c r="E65" s="32">
        <v>1.0</v>
      </c>
      <c r="F65" s="32" t="s">
        <v>29</v>
      </c>
      <c r="G65" s="32">
        <v>10000.0</v>
      </c>
      <c r="H65" s="32">
        <f>E65*G65</f>
        <v>10000</v>
      </c>
      <c r="I65" s="32">
        <f>SUM(H65)</f>
        <v>10000</v>
      </c>
      <c r="J65" s="34">
        <f>I65</f>
        <v>10000</v>
      </c>
      <c r="K65" s="32"/>
      <c r="L65" s="32"/>
      <c r="M65" s="35"/>
      <c r="N65" s="37"/>
      <c r="O65" s="37"/>
      <c r="P65" s="37"/>
      <c r="Q65" s="34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9" t="s">
        <v>103</v>
      </c>
      <c r="B66" s="30" t="s">
        <v>39</v>
      </c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32" t="s">
        <v>26</v>
      </c>
      <c r="B67" s="33" t="s">
        <v>104</v>
      </c>
      <c r="C67" s="33"/>
      <c r="D67" s="32"/>
      <c r="E67" s="32">
        <v>1.0</v>
      </c>
      <c r="F67" s="32" t="s">
        <v>29</v>
      </c>
      <c r="G67" s="32">
        <v>10000.0</v>
      </c>
      <c r="H67" s="32">
        <f>G67*E67</f>
        <v>10000</v>
      </c>
      <c r="I67" s="32">
        <f>+H67</f>
        <v>10000</v>
      </c>
      <c r="J67" s="34">
        <f>I67</f>
        <v>10000</v>
      </c>
      <c r="K67" s="50"/>
      <c r="L67" s="50"/>
      <c r="M67" s="101"/>
      <c r="N67" s="37"/>
      <c r="O67" s="37"/>
      <c r="P67" s="37"/>
      <c r="Q67" s="34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102"/>
      <c r="B68" s="103" t="s">
        <v>105</v>
      </c>
      <c r="C68" s="2"/>
      <c r="D68" s="2"/>
      <c r="E68" s="2"/>
      <c r="F68" s="2"/>
      <c r="G68" s="3"/>
      <c r="H68" s="104"/>
      <c r="I68" s="104">
        <f t="shared" ref="I68:J68" si="17">SUM(I6:I67)</f>
        <v>2315710</v>
      </c>
      <c r="J68" s="104">
        <f t="shared" si="17"/>
        <v>2209100</v>
      </c>
      <c r="K68" s="104"/>
      <c r="L68" s="104"/>
      <c r="M68" s="105"/>
      <c r="N68" s="103"/>
      <c r="O68" s="103"/>
      <c r="P68" s="103"/>
      <c r="Q68" s="104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106"/>
      <c r="B69" s="106"/>
      <c r="C69" s="106"/>
      <c r="D69" s="106"/>
      <c r="E69" s="106"/>
      <c r="F69" s="106"/>
      <c r="G69" s="107"/>
      <c r="H69" s="108" t="s">
        <v>106</v>
      </c>
      <c r="I69" s="109">
        <v>2600000.0</v>
      </c>
      <c r="J69" s="110">
        <v>2600000.0</v>
      </c>
      <c r="K69" s="110"/>
      <c r="L69" s="110"/>
      <c r="M69" s="110"/>
      <c r="N69" s="110"/>
      <c r="O69" s="110"/>
      <c r="P69" s="110"/>
      <c r="Q69" s="110"/>
      <c r="R69" s="111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</row>
    <row r="70">
      <c r="A70" s="106"/>
      <c r="B70" s="106"/>
      <c r="C70" s="106"/>
      <c r="D70" s="106"/>
      <c r="E70" s="106"/>
      <c r="F70" s="106"/>
      <c r="G70" s="107"/>
      <c r="H70" s="108" t="s">
        <v>107</v>
      </c>
      <c r="I70" s="109">
        <f t="shared" ref="I70:J70" si="18">I69-I68</f>
        <v>284290</v>
      </c>
      <c r="J70" s="109">
        <f t="shared" si="18"/>
        <v>390900</v>
      </c>
      <c r="K70" s="110"/>
      <c r="L70" s="110"/>
      <c r="M70" s="110"/>
      <c r="N70" s="109"/>
      <c r="O70" s="109"/>
      <c r="P70" s="109"/>
      <c r="Q70" s="109"/>
      <c r="R70" s="111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</row>
    <row r="71">
      <c r="A71" s="11"/>
      <c r="B71" s="11"/>
      <c r="C71" s="11"/>
      <c r="D71" s="11"/>
      <c r="E71" s="11"/>
      <c r="F71" s="11"/>
      <c r="G71" s="11"/>
      <c r="H71" s="112" t="s">
        <v>108</v>
      </c>
      <c r="I71" s="11"/>
      <c r="J71" s="11"/>
      <c r="K71" s="11"/>
      <c r="L71" s="11"/>
      <c r="M71" s="11"/>
      <c r="N71" s="11"/>
      <c r="O71" s="11"/>
      <c r="P71" s="11"/>
      <c r="Q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11"/>
      <c r="B72" s="11"/>
      <c r="C72" s="11"/>
      <c r="D72" s="11"/>
      <c r="E72" s="11"/>
      <c r="F72" s="11"/>
      <c r="G72" s="11"/>
      <c r="H72" s="112" t="s">
        <v>109</v>
      </c>
      <c r="I72" s="11"/>
      <c r="J72" s="112" t="s">
        <v>110</v>
      </c>
      <c r="K72" s="11"/>
      <c r="L72" s="11"/>
      <c r="M72" s="11"/>
      <c r="N72" s="11"/>
      <c r="O72" s="11"/>
      <c r="P72" s="11"/>
      <c r="Q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11"/>
      <c r="B74" s="112" t="s">
        <v>111</v>
      </c>
      <c r="C74" s="112" t="s">
        <v>112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11"/>
      <c r="B75" s="112" t="s">
        <v>113</v>
      </c>
      <c r="C75" s="112" t="s">
        <v>114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11"/>
      <c r="B76" s="112" t="s">
        <v>115</v>
      </c>
      <c r="C76" s="112" t="s">
        <v>116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11"/>
      <c r="B77" s="112" t="s">
        <v>117</v>
      </c>
      <c r="C77" s="112" t="s">
        <v>118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11"/>
      <c r="B78" s="112" t="s">
        <v>119</v>
      </c>
      <c r="C78" s="112" t="s">
        <v>120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11"/>
      <c r="B79" s="112" t="s">
        <v>121</v>
      </c>
      <c r="C79" s="112" t="s">
        <v>122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11"/>
      <c r="B80" s="11"/>
      <c r="C80" s="112" t="s">
        <v>123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11"/>
      <c r="B83" s="112" t="s">
        <v>124</v>
      </c>
      <c r="C83" s="112" t="s">
        <v>125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11"/>
      <c r="B84" s="112" t="s">
        <v>126</v>
      </c>
      <c r="C84" s="112" t="s">
        <v>125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</row>
  </sheetData>
  <mergeCells count="37">
    <mergeCell ref="A1:C1"/>
    <mergeCell ref="D1:G1"/>
    <mergeCell ref="H1:J1"/>
    <mergeCell ref="A2:C2"/>
    <mergeCell ref="D2:G2"/>
    <mergeCell ref="H2:J2"/>
    <mergeCell ref="I18:I22"/>
    <mergeCell ref="J18:J24"/>
    <mergeCell ref="M18:M26"/>
    <mergeCell ref="I23:I24"/>
    <mergeCell ref="I25:I26"/>
    <mergeCell ref="J25:J26"/>
    <mergeCell ref="J28:J30"/>
    <mergeCell ref="M28:M30"/>
    <mergeCell ref="I48:I53"/>
    <mergeCell ref="J48:J53"/>
    <mergeCell ref="L48:L53"/>
    <mergeCell ref="M48:M53"/>
    <mergeCell ref="B68:G68"/>
    <mergeCell ref="I28:I30"/>
    <mergeCell ref="I32:I35"/>
    <mergeCell ref="J32:J35"/>
    <mergeCell ref="I37:I39"/>
    <mergeCell ref="J37:J39"/>
    <mergeCell ref="I41:I47"/>
    <mergeCell ref="J41:J47"/>
    <mergeCell ref="J62:J63"/>
    <mergeCell ref="L41:L47"/>
    <mergeCell ref="L62:L63"/>
    <mergeCell ref="M62:M63"/>
    <mergeCell ref="L18:L26"/>
    <mergeCell ref="L28:L30"/>
    <mergeCell ref="L32:L35"/>
    <mergeCell ref="M32:M35"/>
    <mergeCell ref="L37:L39"/>
    <mergeCell ref="M37:M39"/>
    <mergeCell ref="M41:M47"/>
  </mergeCells>
  <printOptions/>
  <pageMargins bottom="0.7480314960629921" footer="0.0" header="0.0" left="0.7086614173228347" right="0.7086614173228347" top="0.15748031496062992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6.71"/>
    <col customWidth="1" min="3" max="3" width="18.71"/>
    <col customWidth="1" min="4" max="4" width="29.29"/>
    <col customWidth="1" min="5" max="5" width="5.29"/>
    <col customWidth="1" min="6" max="6" width="4.71"/>
    <col customWidth="1" min="7" max="7" width="7.29"/>
    <col customWidth="1" min="8" max="8" width="9.71"/>
    <col customWidth="1" min="9" max="9" width="8.29"/>
    <col customWidth="1" min="10" max="10" width="8.57"/>
    <col customWidth="1" min="11" max="11" width="14.43"/>
    <col customWidth="1" min="12" max="12" width="15.0"/>
    <col customWidth="1" min="13" max="26" width="8.71"/>
  </cols>
  <sheetData>
    <row r="1" ht="14.25" customHeight="1">
      <c r="A1" s="113" t="s">
        <v>127</v>
      </c>
      <c r="B1" s="2"/>
      <c r="C1" s="3"/>
      <c r="D1" s="114" t="s">
        <v>128</v>
      </c>
      <c r="E1" s="2"/>
      <c r="F1" s="2"/>
      <c r="G1" s="3"/>
      <c r="H1" s="115" t="s">
        <v>129</v>
      </c>
      <c r="I1" s="2"/>
      <c r="J1" s="3"/>
      <c r="K1" s="116"/>
      <c r="L1" s="117"/>
      <c r="M1" s="117"/>
    </row>
    <row r="2" ht="14.25" customHeight="1">
      <c r="A2" s="113" t="s">
        <v>130</v>
      </c>
      <c r="B2" s="2"/>
      <c r="C2" s="3"/>
      <c r="D2" s="113" t="s">
        <v>131</v>
      </c>
      <c r="E2" s="2"/>
      <c r="F2" s="2"/>
      <c r="G2" s="3"/>
      <c r="H2" s="114" t="s">
        <v>132</v>
      </c>
      <c r="I2" s="2"/>
      <c r="J2" s="3"/>
      <c r="K2" s="118"/>
      <c r="L2" s="119"/>
      <c r="M2" s="119"/>
    </row>
    <row r="3" ht="14.25" customHeight="1">
      <c r="A3" s="120" t="s">
        <v>7</v>
      </c>
      <c r="B3" s="120" t="s">
        <v>8</v>
      </c>
      <c r="C3" s="120" t="s">
        <v>9</v>
      </c>
      <c r="D3" s="120" t="s">
        <v>10</v>
      </c>
      <c r="E3" s="120" t="s">
        <v>11</v>
      </c>
      <c r="F3" s="120" t="s">
        <v>12</v>
      </c>
      <c r="G3" s="120" t="s">
        <v>133</v>
      </c>
      <c r="H3" s="120" t="s">
        <v>14</v>
      </c>
      <c r="I3" s="121" t="s">
        <v>15</v>
      </c>
      <c r="J3" s="122" t="s">
        <v>134</v>
      </c>
      <c r="K3" s="121" t="s">
        <v>18</v>
      </c>
      <c r="L3" s="123" t="s">
        <v>19</v>
      </c>
      <c r="M3" s="124"/>
    </row>
    <row r="4" ht="14.25" customHeight="1">
      <c r="A4" s="125" t="s">
        <v>24</v>
      </c>
      <c r="B4" s="126" t="s">
        <v>25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8"/>
    </row>
    <row r="5" ht="14.25" customHeight="1">
      <c r="A5" s="74" t="s">
        <v>26</v>
      </c>
      <c r="B5" s="129" t="s">
        <v>27</v>
      </c>
      <c r="C5" s="129"/>
      <c r="D5" s="74"/>
      <c r="E5" s="74">
        <v>1.0</v>
      </c>
      <c r="F5" s="74" t="s">
        <v>29</v>
      </c>
      <c r="G5" s="74">
        <v>50000.0</v>
      </c>
      <c r="H5" s="74">
        <f>E5*G5</f>
        <v>50000</v>
      </c>
      <c r="I5" s="74">
        <f>+H5</f>
        <v>50000</v>
      </c>
      <c r="J5" s="130">
        <f>I5</f>
        <v>50000</v>
      </c>
      <c r="K5" s="74"/>
      <c r="L5" s="131"/>
      <c r="M5" s="132"/>
    </row>
    <row r="6" ht="14.25" customHeight="1">
      <c r="A6" s="133" t="s">
        <v>26</v>
      </c>
      <c r="B6" s="134" t="s">
        <v>32</v>
      </c>
      <c r="C6" s="134"/>
      <c r="D6" s="133"/>
      <c r="E6" s="133">
        <v>1.0</v>
      </c>
      <c r="F6" s="133" t="s">
        <v>29</v>
      </c>
      <c r="G6" s="133">
        <v>200000.0</v>
      </c>
      <c r="H6" s="133">
        <f t="shared" ref="H6:I6" si="1">+G6</f>
        <v>200000</v>
      </c>
      <c r="I6" s="133">
        <f t="shared" si="1"/>
        <v>200000</v>
      </c>
      <c r="J6" s="130">
        <v>180000.0</v>
      </c>
      <c r="K6" s="133"/>
      <c r="L6" s="135"/>
      <c r="M6" s="136"/>
    </row>
    <row r="7" ht="14.25" customHeight="1">
      <c r="A7" s="74" t="s">
        <v>26</v>
      </c>
      <c r="B7" s="129" t="s">
        <v>135</v>
      </c>
      <c r="C7" s="129"/>
      <c r="D7" s="74"/>
      <c r="E7" s="74">
        <v>1.0</v>
      </c>
      <c r="F7" s="74" t="s">
        <v>29</v>
      </c>
      <c r="G7" s="74">
        <v>5000.0</v>
      </c>
      <c r="H7" s="74">
        <f>E7*G7</f>
        <v>5000</v>
      </c>
      <c r="I7" s="74">
        <f t="shared" ref="I7:J7" si="2">H7</f>
        <v>5000</v>
      </c>
      <c r="J7" s="130">
        <f t="shared" si="2"/>
        <v>5000</v>
      </c>
      <c r="K7" s="74"/>
      <c r="L7" s="74"/>
      <c r="M7" s="132"/>
    </row>
    <row r="8" ht="14.25" customHeight="1">
      <c r="A8" s="137" t="s">
        <v>38</v>
      </c>
      <c r="B8" s="138" t="s">
        <v>39</v>
      </c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40"/>
    </row>
    <row r="9" ht="14.25" customHeight="1">
      <c r="A9" s="133" t="s">
        <v>26</v>
      </c>
      <c r="B9" s="73" t="s">
        <v>41</v>
      </c>
      <c r="C9" s="74"/>
      <c r="D9" s="141" t="s">
        <v>136</v>
      </c>
      <c r="E9" s="75">
        <v>1.0</v>
      </c>
      <c r="F9" s="74" t="s">
        <v>29</v>
      </c>
      <c r="G9" s="74">
        <v>10000.0</v>
      </c>
      <c r="H9" s="74">
        <f>G9*E9</f>
        <v>10000</v>
      </c>
      <c r="I9" s="133">
        <f>+H9</f>
        <v>10000</v>
      </c>
      <c r="J9" s="142">
        <f>I9</f>
        <v>10000</v>
      </c>
      <c r="K9" s="133"/>
      <c r="L9" s="133"/>
      <c r="M9" s="143"/>
    </row>
    <row r="10" ht="14.25" customHeight="1">
      <c r="A10" s="137" t="s">
        <v>46</v>
      </c>
      <c r="B10" s="138" t="s">
        <v>47</v>
      </c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40"/>
    </row>
    <row r="11" ht="14.25" customHeight="1">
      <c r="A11" s="74" t="s">
        <v>26</v>
      </c>
      <c r="B11" s="129"/>
      <c r="C11" s="129" t="s">
        <v>48</v>
      </c>
      <c r="D11" s="73" t="s">
        <v>49</v>
      </c>
      <c r="E11" s="74">
        <v>80.0</v>
      </c>
      <c r="F11" s="74" t="s">
        <v>29</v>
      </c>
      <c r="G11" s="75">
        <v>250.0</v>
      </c>
      <c r="H11" s="74">
        <f t="shared" ref="H11:H14" si="3">G11*E11</f>
        <v>20000</v>
      </c>
      <c r="I11" s="144">
        <f>SUM(H11:H14)</f>
        <v>47000</v>
      </c>
      <c r="J11" s="145">
        <v>40000.0</v>
      </c>
      <c r="K11" s="144"/>
      <c r="L11" s="146"/>
      <c r="M11" s="147"/>
    </row>
    <row r="12" ht="14.25" customHeight="1">
      <c r="A12" s="74" t="s">
        <v>26</v>
      </c>
      <c r="B12" s="129"/>
      <c r="C12" s="129"/>
      <c r="D12" s="73" t="s">
        <v>137</v>
      </c>
      <c r="E12" s="74">
        <v>1.0</v>
      </c>
      <c r="F12" s="74" t="s">
        <v>29</v>
      </c>
      <c r="G12" s="75">
        <v>15000.0</v>
      </c>
      <c r="H12" s="74">
        <f t="shared" si="3"/>
        <v>15000</v>
      </c>
      <c r="I12" s="52"/>
      <c r="J12" s="52"/>
      <c r="K12" s="52"/>
      <c r="L12" s="87"/>
      <c r="M12" s="52"/>
    </row>
    <row r="13" ht="14.25" customHeight="1">
      <c r="A13" s="74" t="s">
        <v>26</v>
      </c>
      <c r="B13" s="129"/>
      <c r="C13" s="129"/>
      <c r="D13" s="73" t="s">
        <v>138</v>
      </c>
      <c r="E13" s="74">
        <v>4.0</v>
      </c>
      <c r="F13" s="74" t="s">
        <v>29</v>
      </c>
      <c r="G13" s="75">
        <v>1000.0</v>
      </c>
      <c r="H13" s="74">
        <f t="shared" si="3"/>
        <v>4000</v>
      </c>
      <c r="I13" s="52"/>
      <c r="J13" s="52"/>
      <c r="K13" s="52"/>
      <c r="L13" s="87"/>
      <c r="M13" s="52"/>
    </row>
    <row r="14" ht="14.25" customHeight="1">
      <c r="A14" s="74" t="s">
        <v>26</v>
      </c>
      <c r="B14" s="129"/>
      <c r="C14" s="129"/>
      <c r="D14" s="73" t="s">
        <v>60</v>
      </c>
      <c r="E14" s="74">
        <v>1.0</v>
      </c>
      <c r="F14" s="74" t="s">
        <v>29</v>
      </c>
      <c r="G14" s="75">
        <v>8000.0</v>
      </c>
      <c r="H14" s="74">
        <f t="shared" si="3"/>
        <v>8000</v>
      </c>
      <c r="I14" s="54"/>
      <c r="J14" s="54"/>
      <c r="K14" s="54"/>
      <c r="L14" s="148"/>
      <c r="M14" s="54"/>
    </row>
    <row r="15" ht="14.25" customHeight="1">
      <c r="A15" s="137" t="s">
        <v>79</v>
      </c>
      <c r="B15" s="138" t="s">
        <v>80</v>
      </c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40"/>
    </row>
    <row r="16" ht="14.25" customHeight="1">
      <c r="A16" s="149" t="s">
        <v>26</v>
      </c>
      <c r="B16" s="150" t="s">
        <v>81</v>
      </c>
      <c r="C16" s="151"/>
      <c r="D16" s="152" t="s">
        <v>85</v>
      </c>
      <c r="E16" s="141">
        <v>6.0</v>
      </c>
      <c r="F16" s="74" t="s">
        <v>29</v>
      </c>
      <c r="G16" s="141">
        <v>1000.0</v>
      </c>
      <c r="H16" s="74">
        <f t="shared" ref="H16:H21" si="4">E16*G16</f>
        <v>6000</v>
      </c>
      <c r="I16" s="153">
        <f>SUM(H16:H18)</f>
        <v>18000</v>
      </c>
      <c r="J16" s="145"/>
      <c r="K16" s="144"/>
      <c r="L16" s="146"/>
      <c r="M16" s="154"/>
    </row>
    <row r="17" ht="14.25" customHeight="1">
      <c r="A17" s="149"/>
      <c r="B17" s="150"/>
      <c r="C17" s="155"/>
      <c r="D17" s="152" t="s">
        <v>83</v>
      </c>
      <c r="E17" s="141">
        <v>6.0</v>
      </c>
      <c r="F17" s="74" t="s">
        <v>29</v>
      </c>
      <c r="G17" s="141">
        <v>1000.0</v>
      </c>
      <c r="H17" s="74">
        <f t="shared" si="4"/>
        <v>6000</v>
      </c>
      <c r="I17" s="52"/>
      <c r="J17" s="52"/>
      <c r="K17" s="52"/>
      <c r="L17" s="87"/>
      <c r="M17" s="52"/>
    </row>
    <row r="18" ht="14.25" customHeight="1">
      <c r="A18" s="156"/>
      <c r="B18" s="156"/>
      <c r="C18" s="155"/>
      <c r="D18" s="152" t="s">
        <v>85</v>
      </c>
      <c r="E18" s="141">
        <v>6.0</v>
      </c>
      <c r="F18" s="74" t="s">
        <v>29</v>
      </c>
      <c r="G18" s="141">
        <v>1000.0</v>
      </c>
      <c r="H18" s="74">
        <f t="shared" si="4"/>
        <v>6000</v>
      </c>
      <c r="I18" s="54"/>
      <c r="J18" s="53"/>
      <c r="K18" s="53"/>
      <c r="L18" s="88"/>
      <c r="M18" s="54"/>
    </row>
    <row r="19" ht="14.25" customHeight="1">
      <c r="A19" s="74" t="s">
        <v>26</v>
      </c>
      <c r="B19" s="157" t="s">
        <v>88</v>
      </c>
      <c r="C19" s="151"/>
      <c r="D19" s="158" t="s">
        <v>85</v>
      </c>
      <c r="E19" s="159">
        <v>8.0</v>
      </c>
      <c r="F19" s="160" t="s">
        <v>89</v>
      </c>
      <c r="G19" s="159">
        <v>1200.0</v>
      </c>
      <c r="H19" s="160">
        <f t="shared" si="4"/>
        <v>9600</v>
      </c>
      <c r="I19" s="144">
        <f>SUM(H20:H21)</f>
        <v>19200</v>
      </c>
      <c r="J19" s="145">
        <f>I19</f>
        <v>19200</v>
      </c>
      <c r="K19" s="161"/>
      <c r="L19" s="144"/>
      <c r="M19" s="154"/>
    </row>
    <row r="20" ht="14.25" customHeight="1">
      <c r="A20" s="74"/>
      <c r="B20" s="162"/>
      <c r="C20" s="155"/>
      <c r="D20" s="152" t="s">
        <v>83</v>
      </c>
      <c r="E20" s="141">
        <v>8.0</v>
      </c>
      <c r="F20" s="74" t="s">
        <v>29</v>
      </c>
      <c r="G20" s="141">
        <v>1200.0</v>
      </c>
      <c r="H20" s="74">
        <f t="shared" si="4"/>
        <v>9600</v>
      </c>
      <c r="I20" s="52"/>
      <c r="J20" s="52"/>
      <c r="K20" s="52"/>
      <c r="L20" s="52"/>
      <c r="M20" s="52"/>
    </row>
    <row r="21" ht="14.25" customHeight="1">
      <c r="A21" s="74"/>
      <c r="B21" s="163"/>
      <c r="C21" s="155"/>
      <c r="D21" s="152" t="s">
        <v>85</v>
      </c>
      <c r="E21" s="141">
        <v>8.0</v>
      </c>
      <c r="F21" s="74" t="s">
        <v>29</v>
      </c>
      <c r="G21" s="141">
        <v>1200.0</v>
      </c>
      <c r="H21" s="74">
        <f t="shared" si="4"/>
        <v>9600</v>
      </c>
      <c r="I21" s="54"/>
      <c r="J21" s="54"/>
      <c r="K21" s="54"/>
      <c r="L21" s="54"/>
      <c r="M21" s="54"/>
    </row>
    <row r="22" ht="14.25" customHeight="1">
      <c r="A22" s="74" t="s">
        <v>26</v>
      </c>
      <c r="B22" s="164" t="s">
        <v>90</v>
      </c>
      <c r="C22" s="155"/>
      <c r="D22" s="152"/>
      <c r="E22" s="141">
        <v>8.0</v>
      </c>
      <c r="F22" s="74" t="s">
        <v>29</v>
      </c>
      <c r="G22" s="141">
        <v>500.0</v>
      </c>
      <c r="H22" s="74">
        <f t="shared" ref="H22:H23" si="5">G22*E22</f>
        <v>4000</v>
      </c>
      <c r="I22" s="133">
        <f>SUM(H22)</f>
        <v>4000</v>
      </c>
      <c r="J22" s="142">
        <f t="shared" ref="J22:J23" si="6">I22</f>
        <v>4000</v>
      </c>
      <c r="K22" s="165"/>
      <c r="L22" s="135"/>
      <c r="M22" s="136"/>
    </row>
    <row r="23" ht="14.25" customHeight="1">
      <c r="A23" s="74" t="s">
        <v>26</v>
      </c>
      <c r="B23" s="164" t="s">
        <v>91</v>
      </c>
      <c r="C23" s="155"/>
      <c r="D23" s="152"/>
      <c r="E23" s="141">
        <v>8.0</v>
      </c>
      <c r="F23" s="74" t="s">
        <v>29</v>
      </c>
      <c r="G23" s="141">
        <v>800.0</v>
      </c>
      <c r="H23" s="74">
        <f t="shared" si="5"/>
        <v>6400</v>
      </c>
      <c r="I23" s="74">
        <f>+H23</f>
        <v>6400</v>
      </c>
      <c r="J23" s="130">
        <f t="shared" si="6"/>
        <v>6400</v>
      </c>
      <c r="K23" s="141"/>
      <c r="L23" s="131"/>
      <c r="M23" s="132"/>
    </row>
    <row r="24" ht="14.25" customHeight="1">
      <c r="A24" s="125" t="s">
        <v>79</v>
      </c>
      <c r="B24" s="126" t="s">
        <v>92</v>
      </c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8"/>
    </row>
    <row r="25" ht="14.25" customHeight="1">
      <c r="A25" s="74" t="s">
        <v>26</v>
      </c>
      <c r="B25" s="72" t="s">
        <v>93</v>
      </c>
      <c r="C25" s="129"/>
      <c r="D25" s="156"/>
      <c r="E25" s="74">
        <v>1.0</v>
      </c>
      <c r="F25" s="74" t="s">
        <v>29</v>
      </c>
      <c r="G25" s="74">
        <v>10000.0</v>
      </c>
      <c r="H25" s="74">
        <f>G25*E25</f>
        <v>10000</v>
      </c>
      <c r="I25" s="74">
        <f>+H25</f>
        <v>10000</v>
      </c>
      <c r="J25" s="130">
        <f>I25</f>
        <v>10000</v>
      </c>
      <c r="K25" s="141"/>
      <c r="L25" s="166"/>
      <c r="M25" s="167"/>
    </row>
    <row r="26" ht="14.25" customHeight="1">
      <c r="A26" s="125" t="s">
        <v>97</v>
      </c>
      <c r="B26" s="126" t="s">
        <v>60</v>
      </c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8"/>
    </row>
    <row r="27" ht="14.25" customHeight="1">
      <c r="A27" s="74" t="s">
        <v>26</v>
      </c>
      <c r="B27" s="129" t="s">
        <v>98</v>
      </c>
      <c r="C27" s="129"/>
      <c r="D27" s="74"/>
      <c r="E27" s="74">
        <v>1.0</v>
      </c>
      <c r="F27" s="74" t="s">
        <v>29</v>
      </c>
      <c r="G27" s="74">
        <v>4500.0</v>
      </c>
      <c r="H27" s="74">
        <f t="shared" ref="H27:H28" si="7">G27*E27</f>
        <v>4500</v>
      </c>
      <c r="I27" s="133">
        <f t="shared" ref="I27:I28" si="8">SUM(H27)</f>
        <v>4500</v>
      </c>
      <c r="J27" s="145">
        <f>SUM(I27:I28)</f>
        <v>9000</v>
      </c>
      <c r="K27" s="161"/>
      <c r="L27" s="161"/>
      <c r="M27" s="167"/>
    </row>
    <row r="28" ht="14.25" customHeight="1">
      <c r="A28" s="74" t="s">
        <v>26</v>
      </c>
      <c r="B28" s="129" t="s">
        <v>99</v>
      </c>
      <c r="C28" s="129"/>
      <c r="D28" s="74"/>
      <c r="E28" s="74">
        <v>1.0</v>
      </c>
      <c r="F28" s="74" t="s">
        <v>29</v>
      </c>
      <c r="G28" s="74">
        <v>4500.0</v>
      </c>
      <c r="H28" s="74">
        <f t="shared" si="7"/>
        <v>4500</v>
      </c>
      <c r="I28" s="133">
        <f t="shared" si="8"/>
        <v>4500</v>
      </c>
      <c r="J28" s="53"/>
      <c r="K28" s="53"/>
      <c r="L28" s="53"/>
      <c r="M28" s="167"/>
    </row>
    <row r="29" ht="14.25" customHeight="1">
      <c r="A29" s="125" t="s">
        <v>100</v>
      </c>
      <c r="B29" s="126" t="s">
        <v>101</v>
      </c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8"/>
    </row>
    <row r="30" ht="14.25" customHeight="1">
      <c r="A30" s="149" t="s">
        <v>26</v>
      </c>
      <c r="B30" s="73" t="s">
        <v>102</v>
      </c>
      <c r="C30" s="168"/>
      <c r="D30" s="168"/>
      <c r="E30" s="74">
        <v>1.0</v>
      </c>
      <c r="F30" s="74" t="s">
        <v>29</v>
      </c>
      <c r="G30" s="74">
        <v>5000.0</v>
      </c>
      <c r="H30" s="74">
        <f>E30*G30</f>
        <v>5000</v>
      </c>
      <c r="I30" s="74">
        <f>SUM(H30)</f>
        <v>5000</v>
      </c>
      <c r="J30" s="130">
        <f>I30</f>
        <v>5000</v>
      </c>
      <c r="K30" s="74"/>
      <c r="L30" s="131"/>
      <c r="M30" s="132"/>
    </row>
    <row r="31" ht="14.25" customHeight="1">
      <c r="A31" s="125" t="s">
        <v>103</v>
      </c>
      <c r="B31" s="126" t="s">
        <v>39</v>
      </c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8"/>
    </row>
    <row r="32" ht="14.25" customHeight="1">
      <c r="A32" s="74" t="s">
        <v>26</v>
      </c>
      <c r="B32" s="129" t="s">
        <v>104</v>
      </c>
      <c r="C32" s="129"/>
      <c r="D32" s="74"/>
      <c r="E32" s="74">
        <v>1.0</v>
      </c>
      <c r="F32" s="74" t="s">
        <v>29</v>
      </c>
      <c r="G32" s="74">
        <v>1500.0</v>
      </c>
      <c r="H32" s="74">
        <f>G32*E32</f>
        <v>1500</v>
      </c>
      <c r="I32" s="74">
        <f>+H32</f>
        <v>1500</v>
      </c>
      <c r="J32" s="130">
        <f>I32</f>
        <v>1500</v>
      </c>
      <c r="K32" s="141"/>
      <c r="L32" s="166"/>
      <c r="M32" s="167"/>
    </row>
    <row r="33" ht="14.25" customHeight="1">
      <c r="A33" s="169"/>
      <c r="B33" s="170" t="s">
        <v>105</v>
      </c>
      <c r="C33" s="2"/>
      <c r="D33" s="2"/>
      <c r="E33" s="2"/>
      <c r="F33" s="2"/>
      <c r="G33" s="3"/>
      <c r="H33" s="171"/>
      <c r="I33" s="171">
        <f t="shared" ref="I33:J33" si="9">SUM(I5:I32)</f>
        <v>385100</v>
      </c>
      <c r="J33" s="171">
        <f t="shared" si="9"/>
        <v>340100</v>
      </c>
      <c r="K33" s="171"/>
      <c r="L33" s="172"/>
      <c r="M33" s="173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A1:C1"/>
    <mergeCell ref="D1:G1"/>
    <mergeCell ref="H1:J1"/>
    <mergeCell ref="A2:C2"/>
    <mergeCell ref="D2:G2"/>
    <mergeCell ref="H2:J2"/>
    <mergeCell ref="I11:I14"/>
    <mergeCell ref="L16:L18"/>
    <mergeCell ref="M16:M18"/>
    <mergeCell ref="J11:J14"/>
    <mergeCell ref="K11:K14"/>
    <mergeCell ref="L11:L14"/>
    <mergeCell ref="M11:M14"/>
    <mergeCell ref="I16:I18"/>
    <mergeCell ref="J16:J18"/>
    <mergeCell ref="K16:K18"/>
    <mergeCell ref="J27:J28"/>
    <mergeCell ref="B33:G33"/>
    <mergeCell ref="I19:I21"/>
    <mergeCell ref="J19:J21"/>
    <mergeCell ref="K19:K21"/>
    <mergeCell ref="L19:L21"/>
    <mergeCell ref="M19:M21"/>
    <mergeCell ref="K27:K28"/>
    <mergeCell ref="L27:L28"/>
  </mergeCells>
  <printOptions/>
  <pageMargins bottom="0.15748031496062992" footer="0.0" header="0.0" left="0.11811023622047244" right="0.1968503937007874" top="0.15748031496062992"/>
  <pageSetup fitToHeight="0" orientation="landscape"/>
  <drawing r:id="rId1"/>
</worksheet>
</file>